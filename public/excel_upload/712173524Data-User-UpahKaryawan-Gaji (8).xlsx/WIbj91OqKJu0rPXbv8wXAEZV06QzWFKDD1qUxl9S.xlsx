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8E0FC60-F0A0-4D30-A736-429DFBBFD2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43" i="1" l="1"/>
  <c r="J2" i="1"/>
  <c r="U106" i="1" l="1"/>
  <c r="J106" i="1"/>
  <c r="J105" i="1" l="1"/>
  <c r="J104" i="1"/>
  <c r="J103" i="1"/>
  <c r="U105" i="1"/>
  <c r="U104" i="1"/>
  <c r="U103" i="1"/>
  <c r="J101" i="1"/>
  <c r="J102" i="1"/>
  <c r="J73" i="1"/>
  <c r="J66" i="1"/>
  <c r="J110" i="1"/>
  <c r="J72" i="1"/>
  <c r="J64" i="1"/>
  <c r="J122" i="1"/>
  <c r="J254" i="1"/>
  <c r="J37" i="1"/>
  <c r="J68" i="1"/>
  <c r="J69" i="1"/>
  <c r="J70" i="1"/>
  <c r="J74" i="1"/>
  <c r="J75" i="1"/>
  <c r="J76" i="1"/>
  <c r="J77" i="1"/>
  <c r="J78" i="1"/>
  <c r="J79" i="1"/>
  <c r="J306" i="1" l="1"/>
  <c r="J80" i="1"/>
  <c r="J81" i="1"/>
  <c r="J82" i="1"/>
  <c r="J145" i="1"/>
  <c r="J166" i="1"/>
  <c r="J167" i="1"/>
  <c r="J168" i="1"/>
  <c r="J169" i="1"/>
  <c r="J181" i="1"/>
  <c r="J206" i="1"/>
  <c r="J207" i="1"/>
  <c r="J208" i="1"/>
  <c r="J209" i="1"/>
  <c r="J211" i="1"/>
  <c r="J309" i="1"/>
  <c r="J182" i="1"/>
  <c r="J183" i="1"/>
  <c r="J184" i="1"/>
  <c r="J185" i="1"/>
  <c r="J212" i="1"/>
  <c r="J214" i="1"/>
  <c r="J217" i="1"/>
  <c r="J221" i="1"/>
  <c r="J222" i="1"/>
  <c r="J223" i="1"/>
  <c r="J224" i="1"/>
  <c r="J225" i="1"/>
  <c r="J226" i="1"/>
  <c r="J227" i="1"/>
  <c r="J269" i="1"/>
  <c r="J290" i="1"/>
  <c r="J292" i="1"/>
  <c r="J312" i="1"/>
  <c r="J315" i="1"/>
  <c r="J316" i="1"/>
  <c r="J319" i="1"/>
  <c r="J320" i="1"/>
  <c r="J321" i="1"/>
  <c r="J322" i="1"/>
  <c r="J323" i="1"/>
  <c r="J325" i="1"/>
  <c r="J327" i="1"/>
  <c r="J328" i="1"/>
  <c r="J329" i="1"/>
  <c r="J331" i="1"/>
  <c r="J332" i="1"/>
  <c r="J333" i="1"/>
  <c r="J334" i="1"/>
  <c r="J335" i="1"/>
  <c r="J7" i="1"/>
  <c r="J8" i="1"/>
  <c r="J9" i="1"/>
  <c r="J14" i="1"/>
  <c r="J15" i="1"/>
  <c r="J43" i="1"/>
  <c r="J44" i="1"/>
  <c r="J135" i="1"/>
  <c r="J228" i="1"/>
  <c r="J270" i="1"/>
  <c r="J336" i="1"/>
  <c r="J337" i="1"/>
  <c r="J17" i="1"/>
  <c r="J18" i="1"/>
  <c r="J19" i="1"/>
  <c r="J20" i="1"/>
  <c r="J21" i="1"/>
  <c r="J22" i="1"/>
  <c r="J23" i="1"/>
  <c r="J24" i="1"/>
  <c r="J45" i="1"/>
  <c r="J46" i="1"/>
  <c r="J47" i="1"/>
  <c r="J48" i="1"/>
  <c r="J49" i="1"/>
  <c r="J50" i="1"/>
  <c r="J51" i="1"/>
  <c r="J52" i="1"/>
  <c r="J54" i="1"/>
  <c r="J55" i="1"/>
  <c r="J56" i="1"/>
  <c r="J57" i="1"/>
  <c r="J58" i="1"/>
  <c r="J59" i="1"/>
  <c r="J60" i="1"/>
  <c r="J61" i="1"/>
  <c r="J62" i="1"/>
  <c r="J86" i="1"/>
  <c r="J87" i="1"/>
  <c r="J88" i="1"/>
  <c r="J89" i="1"/>
  <c r="J112" i="1"/>
  <c r="J113" i="1"/>
  <c r="J114" i="1"/>
  <c r="J115" i="1"/>
  <c r="J116" i="1"/>
  <c r="J117" i="1"/>
  <c r="J118" i="1"/>
  <c r="J119" i="1"/>
  <c r="J120" i="1"/>
  <c r="J121" i="1"/>
  <c r="J123" i="1"/>
  <c r="J124" i="1"/>
  <c r="J125" i="1"/>
  <c r="J126" i="1"/>
  <c r="J127" i="1"/>
  <c r="J129" i="1"/>
  <c r="J130" i="1"/>
  <c r="J146" i="1"/>
  <c r="J148" i="1"/>
  <c r="J149" i="1"/>
  <c r="J150" i="1"/>
  <c r="J172" i="1"/>
  <c r="J174" i="1"/>
  <c r="J187" i="1"/>
  <c r="J229" i="1"/>
  <c r="J230" i="1"/>
  <c r="J231" i="1"/>
  <c r="J232" i="1"/>
  <c r="J233" i="1"/>
  <c r="J234" i="1"/>
  <c r="J235" i="1"/>
  <c r="J236" i="1"/>
  <c r="J239" i="1"/>
  <c r="J256" i="1"/>
  <c r="J257" i="1"/>
  <c r="J244" i="1"/>
  <c r="J245" i="1"/>
  <c r="J246" i="1"/>
  <c r="J247" i="1"/>
  <c r="J248" i="1"/>
  <c r="J249" i="1"/>
  <c r="J250" i="1"/>
  <c r="J251" i="1"/>
  <c r="J252" i="1"/>
  <c r="J253" i="1"/>
  <c r="J271" i="1"/>
  <c r="J272" i="1"/>
  <c r="J273" i="1"/>
  <c r="J274" i="1"/>
  <c r="J275" i="1"/>
  <c r="J293" i="1"/>
  <c r="J294" i="1"/>
  <c r="J295" i="1"/>
  <c r="J296" i="1"/>
  <c r="J338" i="1"/>
  <c r="J339" i="1"/>
  <c r="J28" i="1"/>
  <c r="J29" i="1"/>
  <c r="J31" i="1"/>
  <c r="J32" i="1"/>
  <c r="J33" i="1"/>
  <c r="J34" i="1"/>
  <c r="J67" i="1"/>
  <c r="J91" i="1"/>
  <c r="J92" i="1"/>
  <c r="J93" i="1"/>
  <c r="J95" i="1"/>
  <c r="J137" i="1"/>
  <c r="J138" i="1"/>
  <c r="J152" i="1"/>
  <c r="J153" i="1"/>
  <c r="J154" i="1"/>
  <c r="J155" i="1"/>
  <c r="J157" i="1"/>
  <c r="J177" i="1"/>
  <c r="J188" i="1"/>
  <c r="J189" i="1"/>
  <c r="J190" i="1"/>
  <c r="J191" i="1"/>
  <c r="J192" i="1"/>
  <c r="J260" i="1"/>
  <c r="J262" i="1"/>
  <c r="J261" i="1"/>
  <c r="J276" i="1"/>
  <c r="J277" i="1"/>
  <c r="J278" i="1"/>
  <c r="J297" i="1"/>
  <c r="J300" i="1"/>
  <c r="J35" i="1"/>
  <c r="J38" i="1"/>
  <c r="J71" i="1"/>
  <c r="J96" i="1"/>
  <c r="J97" i="1"/>
  <c r="J98" i="1"/>
  <c r="J99" i="1"/>
  <c r="J100" i="1"/>
  <c r="J139" i="1"/>
  <c r="J140" i="1"/>
  <c r="J141" i="1"/>
  <c r="J142" i="1"/>
  <c r="J143" i="1"/>
  <c r="J144" i="1"/>
  <c r="J158" i="1"/>
  <c r="J159" i="1"/>
  <c r="J160" i="1"/>
  <c r="J161" i="1"/>
  <c r="J162" i="1"/>
  <c r="J163" i="1"/>
  <c r="J194" i="1"/>
  <c r="J195" i="1"/>
  <c r="J196" i="1"/>
  <c r="J197" i="1"/>
  <c r="J198" i="1"/>
  <c r="J199" i="1"/>
  <c r="J200" i="1"/>
  <c r="J201" i="1"/>
  <c r="J202" i="1"/>
  <c r="J203" i="1"/>
  <c r="J263" i="1"/>
  <c r="J301" i="1"/>
  <c r="J39" i="1"/>
  <c r="J40" i="1"/>
  <c r="J41" i="1"/>
  <c r="J42" i="1"/>
  <c r="J341" i="1"/>
  <c r="J302" i="1"/>
  <c r="J134" i="1"/>
  <c r="J36" i="1"/>
  <c r="J340" i="1"/>
  <c r="J299" i="1"/>
  <c r="J259" i="1"/>
  <c r="J193" i="1"/>
  <c r="J151" i="1"/>
  <c r="J132" i="1"/>
  <c r="J94" i="1"/>
  <c r="J26" i="1"/>
  <c r="J255" i="1"/>
  <c r="J242" i="1"/>
  <c r="J238" i="1"/>
  <c r="J237" i="1"/>
  <c r="J175" i="1"/>
  <c r="J90" i="1"/>
  <c r="J25" i="1"/>
  <c r="J204" i="1"/>
  <c r="J13" i="1"/>
  <c r="J330" i="1"/>
  <c r="J324" i="1"/>
  <c r="J314" i="1"/>
  <c r="J311" i="1"/>
  <c r="J268" i="1"/>
  <c r="J219" i="1"/>
  <c r="J218" i="1"/>
  <c r="J266" i="1"/>
  <c r="J165" i="1"/>
  <c r="J308" i="1"/>
  <c r="J303" i="1"/>
  <c r="J284" i="1"/>
  <c r="J283" i="1"/>
  <c r="J280" i="1"/>
  <c r="J109" i="1"/>
  <c r="J310" i="1"/>
  <c r="J6" i="1"/>
  <c r="J83" i="1"/>
  <c r="J285" i="1"/>
  <c r="J156" i="1"/>
  <c r="J108" i="1"/>
  <c r="J241" i="1"/>
  <c r="J178" i="1"/>
  <c r="J186" i="1"/>
  <c r="J317" i="1"/>
  <c r="J170" i="1"/>
  <c r="J12" i="1"/>
  <c r="J240" i="1"/>
  <c r="J171" i="1"/>
  <c r="J173" i="1"/>
  <c r="J133" i="1"/>
  <c r="J298" i="1"/>
  <c r="J342" i="1"/>
  <c r="J282" i="1"/>
  <c r="J216" i="1"/>
  <c r="J164" i="1"/>
  <c r="J16" i="1"/>
  <c r="J243" i="1"/>
  <c r="J30" i="1"/>
  <c r="J131" i="1"/>
  <c r="J220" i="1"/>
  <c r="J210" i="1"/>
  <c r="J265" i="1"/>
  <c r="J11" i="1"/>
  <c r="J111" i="1"/>
  <c r="J63" i="1"/>
  <c r="J264" i="1"/>
  <c r="J85" i="1"/>
  <c r="J4" i="1"/>
  <c r="J176" i="1"/>
  <c r="J318" i="1"/>
  <c r="J84" i="1"/>
  <c r="J286" i="1"/>
  <c r="J287" i="1"/>
  <c r="J304" i="1"/>
  <c r="J128" i="1"/>
  <c r="J305" i="1"/>
  <c r="J279" i="1"/>
  <c r="J53" i="1"/>
  <c r="J5" i="1"/>
  <c r="J307" i="1"/>
  <c r="J288" i="1"/>
  <c r="J215" i="1"/>
  <c r="J147" i="1"/>
  <c r="J267" i="1"/>
  <c r="J27" i="1"/>
  <c r="J179" i="1"/>
  <c r="J291" i="1"/>
  <c r="J180" i="1"/>
  <c r="J205" i="1"/>
  <c r="J258" i="1"/>
  <c r="J136" i="1"/>
  <c r="J3" i="1"/>
  <c r="J313" i="1"/>
  <c r="J65" i="1"/>
  <c r="J213" i="1"/>
  <c r="J326" i="1"/>
  <c r="J107" i="1"/>
  <c r="J281" i="1"/>
  <c r="J289" i="1"/>
  <c r="J10" i="1"/>
  <c r="U314" i="1" l="1"/>
  <c r="U53" i="1"/>
  <c r="U128" i="1"/>
  <c r="U101" i="1"/>
  <c r="U102" i="1"/>
  <c r="U74" i="1"/>
  <c r="U75" i="1"/>
  <c r="U76" i="1"/>
  <c r="U77" i="1"/>
  <c r="U78" i="1"/>
  <c r="U79" i="1"/>
  <c r="U3" i="1" l="1"/>
  <c r="U156" i="1"/>
  <c r="U177" i="1"/>
  <c r="U2" i="1"/>
  <c r="U39" i="1"/>
  <c r="U40" i="1"/>
  <c r="U41" i="1"/>
  <c r="U42" i="1"/>
  <c r="U198" i="1"/>
  <c r="U143" i="1"/>
  <c r="U72" i="1"/>
  <c r="U298" i="1"/>
  <c r="U190" i="1"/>
  <c r="U133" i="1"/>
  <c r="U32" i="1"/>
  <c r="U293" i="1"/>
  <c r="U251" i="1"/>
  <c r="U256" i="1"/>
  <c r="U232" i="1"/>
  <c r="U171" i="1"/>
  <c r="U125" i="1"/>
  <c r="U113" i="1"/>
  <c r="U60" i="1"/>
  <c r="U47" i="1"/>
  <c r="U337" i="1"/>
  <c r="U12" i="1"/>
  <c r="U329" i="1"/>
  <c r="U317" i="1"/>
  <c r="U227" i="1"/>
  <c r="U215" i="1"/>
  <c r="U309" i="1"/>
  <c r="U170" i="1"/>
  <c r="U308" i="1"/>
  <c r="U280" i="1"/>
  <c r="U5" i="1"/>
  <c r="U18" i="1"/>
  <c r="U197" i="1"/>
  <c r="U142" i="1"/>
  <c r="U71" i="1"/>
  <c r="U297" i="1"/>
  <c r="U189" i="1"/>
  <c r="U132" i="1"/>
  <c r="U31" i="1"/>
  <c r="U275" i="1"/>
  <c r="U250" i="1"/>
  <c r="U242" i="1"/>
  <c r="U231" i="1"/>
  <c r="U150" i="1"/>
  <c r="U124" i="1"/>
  <c r="U112" i="1"/>
  <c r="U59" i="1"/>
  <c r="U46" i="1"/>
  <c r="U336" i="1"/>
  <c r="U11" i="1"/>
  <c r="U328" i="1"/>
  <c r="U316" i="1"/>
  <c r="U226" i="1"/>
  <c r="U214" i="1"/>
  <c r="U289" i="1"/>
  <c r="U169" i="1"/>
  <c r="U307" i="1"/>
  <c r="U279" i="1"/>
  <c r="U339" i="1"/>
  <c r="U4" i="1"/>
  <c r="U196" i="1"/>
  <c r="U141" i="1"/>
  <c r="U70" i="1"/>
  <c r="U278" i="1"/>
  <c r="U131" i="1"/>
  <c r="U30" i="1"/>
  <c r="U274" i="1"/>
  <c r="U255" i="1"/>
  <c r="U239" i="1"/>
  <c r="U230" i="1"/>
  <c r="U149" i="1"/>
  <c r="U123" i="1"/>
  <c r="U90" i="1"/>
  <c r="U58" i="1"/>
  <c r="U45" i="1"/>
  <c r="U270" i="1"/>
  <c r="U10" i="1"/>
  <c r="U327" i="1"/>
  <c r="U315" i="1"/>
  <c r="U225" i="1"/>
  <c r="U213" i="1"/>
  <c r="U288" i="1"/>
  <c r="U168" i="1"/>
  <c r="U305" i="1"/>
  <c r="U264" i="1"/>
  <c r="U277" i="1"/>
  <c r="U148" i="1"/>
  <c r="U228" i="1"/>
  <c r="U326" i="1"/>
  <c r="U301" i="1"/>
  <c r="U194" i="1"/>
  <c r="U139" i="1"/>
  <c r="U68" i="1"/>
  <c r="U276" i="1"/>
  <c r="U157" i="1"/>
  <c r="U94" i="1"/>
  <c r="U28" i="1"/>
  <c r="U273" i="1"/>
  <c r="U248" i="1"/>
  <c r="U241" i="1"/>
  <c r="U186" i="1"/>
  <c r="U147" i="1"/>
  <c r="U121" i="1"/>
  <c r="U88" i="1"/>
  <c r="U56" i="1"/>
  <c r="U24" i="1"/>
  <c r="U204" i="1"/>
  <c r="U8" i="1"/>
  <c r="U325" i="1"/>
  <c r="U312" i="1"/>
  <c r="U223" i="1"/>
  <c r="U265" i="1"/>
  <c r="U166" i="1"/>
  <c r="U303" i="1"/>
  <c r="U180" i="1"/>
  <c r="U195" i="1"/>
  <c r="U240" i="1"/>
  <c r="U224" i="1"/>
  <c r="U163" i="1"/>
  <c r="U134" i="1"/>
  <c r="U38" i="1"/>
  <c r="U261" i="1"/>
  <c r="U155" i="1"/>
  <c r="U93" i="1"/>
  <c r="U27" i="1"/>
  <c r="U272" i="1"/>
  <c r="U254" i="1"/>
  <c r="U238" i="1"/>
  <c r="U146" i="1"/>
  <c r="U120" i="1"/>
  <c r="U87" i="1"/>
  <c r="U55" i="1"/>
  <c r="U23" i="1"/>
  <c r="U135" i="1"/>
  <c r="U7" i="1"/>
  <c r="U324" i="1"/>
  <c r="U311" i="1"/>
  <c r="U222" i="1"/>
  <c r="U185" i="1"/>
  <c r="U211" i="1"/>
  <c r="U165" i="1"/>
  <c r="U287" i="1"/>
  <c r="U179" i="1"/>
  <c r="U95" i="1"/>
  <c r="U57" i="1"/>
  <c r="U9" i="1"/>
  <c r="U205" i="1"/>
  <c r="U263" i="1"/>
  <c r="U162" i="1"/>
  <c r="U100" i="1"/>
  <c r="U37" i="1"/>
  <c r="U262" i="1"/>
  <c r="U154" i="1"/>
  <c r="U92" i="1"/>
  <c r="U26" i="1"/>
  <c r="U271" i="1"/>
  <c r="U247" i="1"/>
  <c r="U187" i="1"/>
  <c r="U130" i="1"/>
  <c r="U119" i="1"/>
  <c r="U86" i="1"/>
  <c r="U54" i="1"/>
  <c r="U22" i="1"/>
  <c r="U44" i="1"/>
  <c r="U335" i="1"/>
  <c r="U323" i="1"/>
  <c r="U292" i="1"/>
  <c r="U221" i="1"/>
  <c r="U184" i="1"/>
  <c r="U210" i="1"/>
  <c r="U145" i="1"/>
  <c r="U286" i="1"/>
  <c r="U178" i="1"/>
  <c r="U342" i="1"/>
  <c r="U69" i="1"/>
  <c r="U249" i="1"/>
  <c r="U313" i="1"/>
  <c r="U140" i="1"/>
  <c r="U229" i="1"/>
  <c r="U212" i="1"/>
  <c r="U161" i="1"/>
  <c r="U153" i="1"/>
  <c r="U246" i="1"/>
  <c r="U65" i="1"/>
  <c r="U334" i="1"/>
  <c r="U220" i="1"/>
  <c r="U209" i="1"/>
  <c r="U285" i="1"/>
  <c r="U164" i="1"/>
  <c r="U35" i="1"/>
  <c r="U253" i="1"/>
  <c r="U136" i="1"/>
  <c r="U290" i="1"/>
  <c r="U81" i="1"/>
  <c r="U110" i="1"/>
  <c r="U188" i="1"/>
  <c r="U122" i="1"/>
  <c r="U167" i="1"/>
  <c r="U99" i="1"/>
  <c r="U91" i="1"/>
  <c r="U176" i="1"/>
  <c r="U52" i="1"/>
  <c r="U341" i="1"/>
  <c r="U202" i="1"/>
  <c r="U259" i="1"/>
  <c r="U245" i="1"/>
  <c r="U117" i="1"/>
  <c r="U201" i="1"/>
  <c r="U159" i="1"/>
  <c r="U97" i="1"/>
  <c r="U340" i="1"/>
  <c r="U193" i="1"/>
  <c r="U151" i="1"/>
  <c r="U66" i="1"/>
  <c r="U244" i="1"/>
  <c r="U235" i="1"/>
  <c r="U174" i="1"/>
  <c r="U116" i="1"/>
  <c r="U63" i="1"/>
  <c r="U50" i="1"/>
  <c r="U19" i="1"/>
  <c r="U15" i="1"/>
  <c r="U332" i="1"/>
  <c r="U320" i="1"/>
  <c r="U269" i="1"/>
  <c r="U218" i="1"/>
  <c r="U84" i="1"/>
  <c r="U207" i="1"/>
  <c r="U80" i="1"/>
  <c r="U283" i="1"/>
  <c r="U109" i="1"/>
  <c r="U302" i="1"/>
  <c r="U29" i="1"/>
  <c r="U89" i="1"/>
  <c r="U266" i="1"/>
  <c r="U36" i="1"/>
  <c r="U338" i="1"/>
  <c r="U237" i="1"/>
  <c r="U118" i="1"/>
  <c r="U43" i="1"/>
  <c r="U291" i="1"/>
  <c r="U183" i="1"/>
  <c r="U111" i="1"/>
  <c r="U98" i="1"/>
  <c r="U67" i="1"/>
  <c r="U175" i="1"/>
  <c r="U51" i="1"/>
  <c r="U333" i="1"/>
  <c r="U219" i="1"/>
  <c r="U200" i="1"/>
  <c r="U158" i="1"/>
  <c r="U96" i="1"/>
  <c r="U300" i="1"/>
  <c r="U192" i="1"/>
  <c r="U138" i="1"/>
  <c r="U34" i="1"/>
  <c r="U295" i="1"/>
  <c r="U258" i="1"/>
  <c r="U234" i="1"/>
  <c r="U173" i="1"/>
  <c r="U127" i="1"/>
  <c r="U115" i="1"/>
  <c r="U62" i="1"/>
  <c r="U49" i="1"/>
  <c r="U17" i="1"/>
  <c r="U14" i="1"/>
  <c r="U331" i="1"/>
  <c r="U319" i="1"/>
  <c r="U268" i="1"/>
  <c r="U217" i="1"/>
  <c r="U83" i="1"/>
  <c r="U206" i="1"/>
  <c r="U6" i="1"/>
  <c r="U282" i="1"/>
  <c r="U108" i="1"/>
  <c r="U25" i="1"/>
  <c r="U304" i="1"/>
  <c r="U203" i="1"/>
  <c r="U260" i="1"/>
  <c r="U129" i="1"/>
  <c r="U21" i="1"/>
  <c r="U322" i="1"/>
  <c r="U160" i="1"/>
  <c r="U152" i="1"/>
  <c r="U296" i="1"/>
  <c r="U236" i="1"/>
  <c r="U64" i="1"/>
  <c r="U20" i="1"/>
  <c r="U321" i="1"/>
  <c r="U182" i="1"/>
  <c r="U208" i="1"/>
  <c r="U284" i="1"/>
  <c r="U199" i="1"/>
  <c r="U144" i="1"/>
  <c r="U73" i="1"/>
  <c r="U299" i="1"/>
  <c r="U191" i="1"/>
  <c r="U137" i="1"/>
  <c r="U33" i="1"/>
  <c r="U294" i="1"/>
  <c r="U252" i="1"/>
  <c r="U257" i="1"/>
  <c r="U233" i="1"/>
  <c r="U172" i="1"/>
  <c r="U126" i="1"/>
  <c r="U114" i="1"/>
  <c r="U61" i="1"/>
  <c r="U48" i="1"/>
  <c r="U16" i="1"/>
  <c r="U13" i="1"/>
  <c r="U330" i="1"/>
  <c r="U318" i="1"/>
  <c r="U267" i="1"/>
  <c r="U216" i="1"/>
  <c r="U310" i="1"/>
  <c r="U181" i="1"/>
  <c r="U281" i="1"/>
  <c r="U107" i="1"/>
  <c r="U306" i="1"/>
  <c r="U82" i="1"/>
  <c r="U243" i="1"/>
  <c r="U85" i="1"/>
</calcChain>
</file>

<file path=xl/sharedStrings.xml><?xml version="1.0" encoding="utf-8"?>
<sst xmlns="http://schemas.openxmlformats.org/spreadsheetml/2006/main" count="2073" uniqueCount="863">
  <si>
    <t>No</t>
  </si>
  <si>
    <t>TIPE</t>
  </si>
  <si>
    <t>ID DEPARTEMEN</t>
  </si>
  <si>
    <t>ID DEPARTEMEN SUB</t>
  </si>
  <si>
    <t>POS</t>
  </si>
  <si>
    <t>GRADE</t>
  </si>
  <si>
    <t>ID_ABSEN</t>
  </si>
  <si>
    <t>USERNAME</t>
  </si>
  <si>
    <t>NAMA</t>
  </si>
  <si>
    <t>Gaji Pokok</t>
  </si>
  <si>
    <t>Tunjangan Jabatan</t>
  </si>
  <si>
    <t>Tunjangan Keahlian</t>
  </si>
  <si>
    <t>Tunjangan Transport Atau Kehadiran</t>
  </si>
  <si>
    <t>Tunjangan Komunikasi</t>
  </si>
  <si>
    <t>Lembur</t>
  </si>
  <si>
    <t>Tambahan Lainnya</t>
  </si>
  <si>
    <t>Simpanan Wajib Koperasi</t>
  </si>
  <si>
    <t>Pinjaman Perusahaan</t>
  </si>
  <si>
    <t>Alfa</t>
  </si>
  <si>
    <t>Ijin</t>
  </si>
  <si>
    <t>Potongan Lainnya</t>
  </si>
  <si>
    <t>MANAGEMENT</t>
  </si>
  <si>
    <t>HR &amp; Legal</t>
  </si>
  <si>
    <t>Pj Manager HR &amp; Legal</t>
  </si>
  <si>
    <t>LV-002</t>
  </si>
  <si>
    <t>01-0223-001</t>
  </si>
  <si>
    <t>Pancoro Adhi Admaja</t>
  </si>
  <si>
    <t>Business Support</t>
  </si>
  <si>
    <t>Bussines Support General Manager</t>
  </si>
  <si>
    <t>LV-001</t>
  </si>
  <si>
    <t>01-0922-001</t>
  </si>
  <si>
    <t>Haryanto</t>
  </si>
  <si>
    <t>Procurement &amp; GA</t>
  </si>
  <si>
    <t>Procurement &amp; GA Manager</t>
  </si>
  <si>
    <t>01-1117-008</t>
  </si>
  <si>
    <t>Ande Suleindy Suryopatih</t>
  </si>
  <si>
    <t>GA</t>
  </si>
  <si>
    <t>GA Crew</t>
  </si>
  <si>
    <t>LV-006</t>
  </si>
  <si>
    <t>02-0117-009</t>
  </si>
  <si>
    <t>Kharis Afifudin</t>
  </si>
  <si>
    <t>GA Officer</t>
  </si>
  <si>
    <t>LV-005</t>
  </si>
  <si>
    <t>02-0119-252</t>
  </si>
  <si>
    <t>Muhammad Targhibul Hasan</t>
  </si>
  <si>
    <t>INPARK REVENUE</t>
  </si>
  <si>
    <t>Inpark Revenue Operational</t>
  </si>
  <si>
    <t>Retail Crew</t>
  </si>
  <si>
    <t>02-0121-002</t>
  </si>
  <si>
    <t>Hasan Fatchur Rochim</t>
  </si>
  <si>
    <t>Finance &amp; Accounting</t>
  </si>
  <si>
    <t>Finance</t>
  </si>
  <si>
    <t>Cashier Ticketing</t>
  </si>
  <si>
    <t>02-0121-003</t>
  </si>
  <si>
    <t>Titis Setyoko</t>
  </si>
  <si>
    <t>Admin Finance</t>
  </si>
  <si>
    <t>02-0121-004</t>
  </si>
  <si>
    <t>Neng Hesti Styorini</t>
  </si>
  <si>
    <t>Inpark Revenue Operational Officer</t>
  </si>
  <si>
    <t>02-0121-005</t>
  </si>
  <si>
    <t>Basillius Agung Ardhy Kristian</t>
  </si>
  <si>
    <t>Finance Officer</t>
  </si>
  <si>
    <t>02-0121-006</t>
  </si>
  <si>
    <t>Sri Wahyuningsih</t>
  </si>
  <si>
    <t>MAINTENANCE</t>
  </si>
  <si>
    <t>Supporting</t>
  </si>
  <si>
    <t>Admin Maintenance</t>
  </si>
  <si>
    <t>02-0121-008</t>
  </si>
  <si>
    <t>Istiqomah</t>
  </si>
  <si>
    <t>Partnership &amp; Support</t>
  </si>
  <si>
    <t>Partnership &amp; Support Admin</t>
  </si>
  <si>
    <t>02-0121-009</t>
  </si>
  <si>
    <t>Lia Irmawati</t>
  </si>
  <si>
    <t>OPERATION</t>
  </si>
  <si>
    <t>Operational</t>
  </si>
  <si>
    <t>Operation Crew</t>
  </si>
  <si>
    <t>02-0121-015</t>
  </si>
  <si>
    <t>Olga Fitriyastuti</t>
  </si>
  <si>
    <t>Landscape &amp; Environment</t>
  </si>
  <si>
    <t>Gardener</t>
  </si>
  <si>
    <t>02-0121-016</t>
  </si>
  <si>
    <t>Sudadi</t>
  </si>
  <si>
    <t>02-0122-001</t>
  </si>
  <si>
    <t>Bandung Arifin</t>
  </si>
  <si>
    <t>Cleaning &amp; Security</t>
  </si>
  <si>
    <t>Security</t>
  </si>
  <si>
    <t>02-0122-003</t>
  </si>
  <si>
    <t>Amin Wahyudi</t>
  </si>
  <si>
    <t>02-0122-004</t>
  </si>
  <si>
    <t>Agus Purwanto</t>
  </si>
  <si>
    <t>02-0122-007</t>
  </si>
  <si>
    <t>Selvianingsih</t>
  </si>
  <si>
    <t>02-0122-008</t>
  </si>
  <si>
    <t>Arga Deva Prayoga</t>
  </si>
  <si>
    <t>02-0122-010</t>
  </si>
  <si>
    <t>Oksan Farhan Jauhary</t>
  </si>
  <si>
    <t>02-0122-012</t>
  </si>
  <si>
    <t>Reyfaldi Chandra Maulana</t>
  </si>
  <si>
    <t>02-0122-013</t>
  </si>
  <si>
    <t>Tri Yudi Prasetiyo</t>
  </si>
  <si>
    <t>02-0122-014</t>
  </si>
  <si>
    <t>Fista Salsabila</t>
  </si>
  <si>
    <t>Warehouse</t>
  </si>
  <si>
    <t>Warehouse SPV</t>
  </si>
  <si>
    <t>LV-004</t>
  </si>
  <si>
    <t>02-0122-015</t>
  </si>
  <si>
    <t>Yudo Ardiantoro</t>
  </si>
  <si>
    <t>Angon Ingon Crew</t>
  </si>
  <si>
    <t>02-0123-004</t>
  </si>
  <si>
    <t>Sudarto</t>
  </si>
  <si>
    <t>02-0123-005</t>
  </si>
  <si>
    <t>Ratmin</t>
  </si>
  <si>
    <t>02-0123-006</t>
  </si>
  <si>
    <t>Dwi Ratna Asieh</t>
  </si>
  <si>
    <t>Wardrobe</t>
  </si>
  <si>
    <t>02-0123-008</t>
  </si>
  <si>
    <t>Winda ElLenawati</t>
  </si>
  <si>
    <t>Veterinarian Staff</t>
  </si>
  <si>
    <t>02-0123-009</t>
  </si>
  <si>
    <t>Dhyas Meilani</t>
  </si>
  <si>
    <t>02-0123-010</t>
  </si>
  <si>
    <t>Muhammad Abdul Hadi</t>
  </si>
  <si>
    <t>02-0123-011</t>
  </si>
  <si>
    <t>Vera Yulianita</t>
  </si>
  <si>
    <t>02-0123-012</t>
  </si>
  <si>
    <t>Oktani Afatikasari</t>
  </si>
  <si>
    <t>02-0123-014</t>
  </si>
  <si>
    <t>Sigit Aditya</t>
  </si>
  <si>
    <t>FB Product</t>
  </si>
  <si>
    <t>DISHWASHER</t>
  </si>
  <si>
    <t>02-0124-001</t>
  </si>
  <si>
    <t>Muhammad Jamil Hadi Susilo</t>
  </si>
  <si>
    <t>Accounting</t>
  </si>
  <si>
    <t>Accounting SPV</t>
  </si>
  <si>
    <t>02-0124-002</t>
  </si>
  <si>
    <t>Titus Arifianto</t>
  </si>
  <si>
    <t>Marketing &amp; Partenership</t>
  </si>
  <si>
    <t>Marketing Communication</t>
  </si>
  <si>
    <t>Content Creator</t>
  </si>
  <si>
    <t>02-0124-003</t>
  </si>
  <si>
    <t>Davi Zaki Aulia</t>
  </si>
  <si>
    <t>Driver</t>
  </si>
  <si>
    <t>02-0124-004</t>
  </si>
  <si>
    <t>Nastain Dwi Cahyanto</t>
  </si>
  <si>
    <t>SALES</t>
  </si>
  <si>
    <t>Edutainment</t>
  </si>
  <si>
    <t>Sales Edutainment Officer</t>
  </si>
  <si>
    <t>02-0125-001</t>
  </si>
  <si>
    <t>Nauval Pramodya Sakti Wiguna</t>
  </si>
  <si>
    <t>Distribusi Crew</t>
  </si>
  <si>
    <t>02-0125-002</t>
  </si>
  <si>
    <t>Ryan Nathan Aditama</t>
  </si>
  <si>
    <t>Retail &amp; Merchandise Crew</t>
  </si>
  <si>
    <t>02-0125-003</t>
  </si>
  <si>
    <t>Mia Sofiana</t>
  </si>
  <si>
    <t>02-0125-004</t>
  </si>
  <si>
    <t>Aula Mawarni</t>
  </si>
  <si>
    <t>02-0221-028</t>
  </si>
  <si>
    <t>Adrian Eko Yuliyanto</t>
  </si>
  <si>
    <t>02-0221-029</t>
  </si>
  <si>
    <t>Ela Fitri Setyaningsih</t>
  </si>
  <si>
    <t>02-0222-019</t>
  </si>
  <si>
    <t>Anggra Heri Pratama</t>
  </si>
  <si>
    <t>02-0222-020</t>
  </si>
  <si>
    <t>Ryan</t>
  </si>
  <si>
    <t>Sales</t>
  </si>
  <si>
    <t>Admin Sales</t>
  </si>
  <si>
    <t>02-0222-021</t>
  </si>
  <si>
    <t>Meylisa Setyaning Ayu</t>
  </si>
  <si>
    <t>Entertainment Crew</t>
  </si>
  <si>
    <t>02-0222-022</t>
  </si>
  <si>
    <t>Faris Afifarya Fathin</t>
  </si>
  <si>
    <t>02-0222-023</t>
  </si>
  <si>
    <t>Ronni Furroni</t>
  </si>
  <si>
    <t>02-0222-024</t>
  </si>
  <si>
    <t>Muhamad Khaerul Umam</t>
  </si>
  <si>
    <t>02-0222-025</t>
  </si>
  <si>
    <t>Riska Siti Nur Janah</t>
  </si>
  <si>
    <t>Maintenance</t>
  </si>
  <si>
    <t>ME Crew</t>
  </si>
  <si>
    <t>02-0222-026</t>
  </si>
  <si>
    <t>Aris Arfianto</t>
  </si>
  <si>
    <t>IT</t>
  </si>
  <si>
    <t>Aplikasi &amp; System</t>
  </si>
  <si>
    <t>PJ Programmer Officer</t>
  </si>
  <si>
    <t>02-0222-027</t>
  </si>
  <si>
    <t>Reza Zhainal Abhidin</t>
  </si>
  <si>
    <t>02-0222-028</t>
  </si>
  <si>
    <t>Diah Ayu Puspita Ningrum</t>
  </si>
  <si>
    <t>02-0222-029</t>
  </si>
  <si>
    <t>Ngatno</t>
  </si>
  <si>
    <t>02-0222-030</t>
  </si>
  <si>
    <t>Surya Aditya Ahmad</t>
  </si>
  <si>
    <t>02-0222-031</t>
  </si>
  <si>
    <t>Rizky Catur Fatmawati</t>
  </si>
  <si>
    <t>02-0222-032</t>
  </si>
  <si>
    <t>Fajar Anjani</t>
  </si>
  <si>
    <t>Admin Operation</t>
  </si>
  <si>
    <t>02-0222-033</t>
  </si>
  <si>
    <t>Putri Narwasturi Wikanto</t>
  </si>
  <si>
    <t>02-0222-034</t>
  </si>
  <si>
    <t>Maksum Sangidu</t>
  </si>
  <si>
    <t>Civil &amp; Decoration</t>
  </si>
  <si>
    <t>Civil Crew</t>
  </si>
  <si>
    <t>02-0222-035</t>
  </si>
  <si>
    <t>Ngadiman</t>
  </si>
  <si>
    <t>02-0222-036</t>
  </si>
  <si>
    <t>Sarju</t>
  </si>
  <si>
    <t>Leader Angon Ingon</t>
  </si>
  <si>
    <t>02-0222-038</t>
  </si>
  <si>
    <t>Sugiyarto</t>
  </si>
  <si>
    <t>HRM</t>
  </si>
  <si>
    <t>PJ HR Operational Officer</t>
  </si>
  <si>
    <t>02-0222-039</t>
  </si>
  <si>
    <t>Salsalbillah Ramadhanti</t>
  </si>
  <si>
    <t>-</t>
  </si>
  <si>
    <t>02-0222-041</t>
  </si>
  <si>
    <t>Sutrisno</t>
  </si>
  <si>
    <t>Digital Marketing Officer</t>
  </si>
  <si>
    <t>02-0223-016</t>
  </si>
  <si>
    <t>Rifaldi Sapta Wirawan</t>
  </si>
  <si>
    <t>02-0223-017</t>
  </si>
  <si>
    <t>Wisnu Aji</t>
  </si>
  <si>
    <t>Programmer</t>
  </si>
  <si>
    <t>02-0224-007</t>
  </si>
  <si>
    <t>Antika Lorien</t>
  </si>
  <si>
    <t>Sales Edutainment</t>
  </si>
  <si>
    <t>02-0224-008</t>
  </si>
  <si>
    <t>Mona Joan Emerald Simon</t>
  </si>
  <si>
    <t>Coorporate</t>
  </si>
  <si>
    <t>Sales Coorporate</t>
  </si>
  <si>
    <t>02-0224-009</t>
  </si>
  <si>
    <t>Alfa Gani Rifani</t>
  </si>
  <si>
    <t>02-0224-010</t>
  </si>
  <si>
    <t>Aditya Gusti Pratama</t>
  </si>
  <si>
    <t>Graphic Design</t>
  </si>
  <si>
    <t>02-0224-012</t>
  </si>
  <si>
    <t>Laila Fathia Zulfiani</t>
  </si>
  <si>
    <t>02-0224-013</t>
  </si>
  <si>
    <t>Vicky J R Pesulima</t>
  </si>
  <si>
    <t>Sales Coorporate Officer</t>
  </si>
  <si>
    <t>02-0225-005</t>
  </si>
  <si>
    <t>Nomina Yusha Artahayest</t>
  </si>
  <si>
    <t>Inpark Revenue Operational Crew</t>
  </si>
  <si>
    <t>02-0225-006</t>
  </si>
  <si>
    <t>Ahmad Akhyarul Umam</t>
  </si>
  <si>
    <t>02-0225-007</t>
  </si>
  <si>
    <t>Asil Tsamara Zain</t>
  </si>
  <si>
    <t>02-0225-008</t>
  </si>
  <si>
    <t>Maffa Denny Ariyanto</t>
  </si>
  <si>
    <t>02-0225-009</t>
  </si>
  <si>
    <t>Riska Ayu Saputri</t>
  </si>
  <si>
    <t>Pertanian Crew</t>
  </si>
  <si>
    <t>02-0225-010</t>
  </si>
  <si>
    <t>Sudarmaji</t>
  </si>
  <si>
    <t>02-0319-272</t>
  </si>
  <si>
    <t>Pamuji</t>
  </si>
  <si>
    <t>02-0319-273</t>
  </si>
  <si>
    <t>Dimas Febby Pramudya</t>
  </si>
  <si>
    <t>02-0319-281</t>
  </si>
  <si>
    <t>Achmad Yusuf Arbianto</t>
  </si>
  <si>
    <t>Landscape Staff</t>
  </si>
  <si>
    <t>02-0320-516</t>
  </si>
  <si>
    <t>Nina Virginia Pinasthika</t>
  </si>
  <si>
    <t>Finance SPV</t>
  </si>
  <si>
    <t>02-0320-525</t>
  </si>
  <si>
    <t>Agni Metta Brilyan Lestari</t>
  </si>
  <si>
    <t>Procurement</t>
  </si>
  <si>
    <t>Puchasing Staff</t>
  </si>
  <si>
    <t>02-0321-033</t>
  </si>
  <si>
    <t>Kris</t>
  </si>
  <si>
    <t>02-0322-042</t>
  </si>
  <si>
    <t>Ferry Dwi Kurniawan</t>
  </si>
  <si>
    <t>02-0322-043</t>
  </si>
  <si>
    <t>Sandhika Agung Novianto</t>
  </si>
  <si>
    <t>02-0322-044</t>
  </si>
  <si>
    <t>Sava Revanda Diaz Wijaya</t>
  </si>
  <si>
    <t>02-0322-046</t>
  </si>
  <si>
    <t>Kukuh Adi Saputra</t>
  </si>
  <si>
    <t>Accounting &amp; Tax Officer</t>
  </si>
  <si>
    <t>02-0322-047</t>
  </si>
  <si>
    <t>Aulia Utami</t>
  </si>
  <si>
    <t>02-0323-019</t>
  </si>
  <si>
    <t>Divvia Maretha Putri</t>
  </si>
  <si>
    <t>02-0323-021</t>
  </si>
  <si>
    <t>Muhamad Edy Nurokhim</t>
  </si>
  <si>
    <t>02-0323-022</t>
  </si>
  <si>
    <t>Yuda Saputra</t>
  </si>
  <si>
    <t>Cook</t>
  </si>
  <si>
    <t>02-0323-023</t>
  </si>
  <si>
    <t>Widarno</t>
  </si>
  <si>
    <t>Dishwasher</t>
  </si>
  <si>
    <t>02-0323-024</t>
  </si>
  <si>
    <t>Joelian Syam Madio</t>
  </si>
  <si>
    <t>02-0324-015</t>
  </si>
  <si>
    <t>Hawa Nania Syafa</t>
  </si>
  <si>
    <t>Maintenance Crew</t>
  </si>
  <si>
    <t>02-0324-016</t>
  </si>
  <si>
    <t>Anton Sulistiyo</t>
  </si>
  <si>
    <t>02-0324-017</t>
  </si>
  <si>
    <t>Nia Andriani</t>
  </si>
  <si>
    <t>02-0324-018</t>
  </si>
  <si>
    <t>Widi Hari Rohmanto</t>
  </si>
  <si>
    <t>02-0324-019</t>
  </si>
  <si>
    <t>Clarisa Octaviani Putri</t>
  </si>
  <si>
    <t>Procurement Officer</t>
  </si>
  <si>
    <t>02-0325-011</t>
  </si>
  <si>
    <t>Rizki Levran Pandensolang</t>
  </si>
  <si>
    <t>02-0325-012</t>
  </si>
  <si>
    <t>Arnon Dwi Cahyadi</t>
  </si>
  <si>
    <t>Demi Chef Officer</t>
  </si>
  <si>
    <t>02-0325-013</t>
  </si>
  <si>
    <t>Krisna Pamungkas</t>
  </si>
  <si>
    <t>02-0325-015</t>
  </si>
  <si>
    <t>Amalia Rahmawati</t>
  </si>
  <si>
    <t>02-0325-016</t>
  </si>
  <si>
    <t>Yulia Nur Saidah</t>
  </si>
  <si>
    <t>02-0325-017</t>
  </si>
  <si>
    <t>Silva Hidayah</t>
  </si>
  <si>
    <t>Maintenance SPV</t>
  </si>
  <si>
    <t>02-0418-011</t>
  </si>
  <si>
    <t>Daniel Joko Sismanto</t>
  </si>
  <si>
    <t>Cleaning officer</t>
  </si>
  <si>
    <t>02-0418-014</t>
  </si>
  <si>
    <t>Bin Wasito</t>
  </si>
  <si>
    <t>IT Manager</t>
  </si>
  <si>
    <t>02-0418-015</t>
  </si>
  <si>
    <t>Muhamad Khoirul Irvan</t>
  </si>
  <si>
    <t>Pj Manager Operational</t>
  </si>
  <si>
    <t>02-0418-024</t>
  </si>
  <si>
    <t>Erwin Kristanto Tri Nugroho</t>
  </si>
  <si>
    <t>02-0419-285</t>
  </si>
  <si>
    <t>Nuryanto</t>
  </si>
  <si>
    <t>02-0422-048</t>
  </si>
  <si>
    <t>Aldi Ramdhani Susetyo Putra</t>
  </si>
  <si>
    <t>02-0422-050</t>
  </si>
  <si>
    <t>Aqwa Muthorik</t>
  </si>
  <si>
    <t>02-0422-054</t>
  </si>
  <si>
    <t>Muhammad Makruf Nugroho</t>
  </si>
  <si>
    <t>02-0422-055</t>
  </si>
  <si>
    <t>Ali Setya Ardhany</t>
  </si>
  <si>
    <t>02-0422-058</t>
  </si>
  <si>
    <t>Choirul Anwar</t>
  </si>
  <si>
    <t>02-0422-059</t>
  </si>
  <si>
    <t>Sindy Echa Fabella</t>
  </si>
  <si>
    <t>02-0422-060</t>
  </si>
  <si>
    <t>Aditya Daffa Danuarta</t>
  </si>
  <si>
    <t>02-0422-061</t>
  </si>
  <si>
    <t>Verdian Febrianto</t>
  </si>
  <si>
    <t>02-0422-062</t>
  </si>
  <si>
    <t>Minudin Is Gama</t>
  </si>
  <si>
    <t>02-0422-063</t>
  </si>
  <si>
    <t>Imam</t>
  </si>
  <si>
    <t>Inventory Control Officer</t>
  </si>
  <si>
    <t>02-0422-064</t>
  </si>
  <si>
    <t>Laini Luthfiati</t>
  </si>
  <si>
    <t>02-0422-066</t>
  </si>
  <si>
    <t>Istaslama Meylana Sukma</t>
  </si>
  <si>
    <t>Waiter</t>
  </si>
  <si>
    <t>02-0422-067</t>
  </si>
  <si>
    <t>Ricky Arisona Irfandi</t>
  </si>
  <si>
    <t>02-0422-068</t>
  </si>
  <si>
    <t>Muflicha Nazila Tan'imi</t>
  </si>
  <si>
    <t>02-0422-069</t>
  </si>
  <si>
    <t>Dhita Anggraeni</t>
  </si>
  <si>
    <t>Sales Support</t>
  </si>
  <si>
    <t>02-0422-073</t>
  </si>
  <si>
    <t>Jaka Laksmana Prabandaru</t>
  </si>
  <si>
    <t>Pj Organizational &amp; Peopel Development SPV</t>
  </si>
  <si>
    <t>02-0422-074</t>
  </si>
  <si>
    <t>Tiar Wahyu Widyarini</t>
  </si>
  <si>
    <t>02-0422-080</t>
  </si>
  <si>
    <t>Eko Susanto</t>
  </si>
  <si>
    <t>Inpark Revenue Operational Team Leader</t>
  </si>
  <si>
    <t>02-0422-082</t>
  </si>
  <si>
    <t>Jalu Legio Noven Asmarano</t>
  </si>
  <si>
    <t>02-0423-028</t>
  </si>
  <si>
    <t>Fandi Kurniawan</t>
  </si>
  <si>
    <t>Corporate Communication</t>
  </si>
  <si>
    <t>Partnership Officer</t>
  </si>
  <si>
    <t>02-0423-029</t>
  </si>
  <si>
    <t>Agnes Amanda</t>
  </si>
  <si>
    <t>Accounting Officer</t>
  </si>
  <si>
    <t>02-0423-031</t>
  </si>
  <si>
    <t>Laurensia Anggraeni Dwi Astuti</t>
  </si>
  <si>
    <t>02-0424-022</t>
  </si>
  <si>
    <t>Karina Elita Puti</t>
  </si>
  <si>
    <t>02-0521-035</t>
  </si>
  <si>
    <t>Muhammad Farid Setiadi</t>
  </si>
  <si>
    <t>02-0522-083</t>
  </si>
  <si>
    <t>Mateo Bunga</t>
  </si>
  <si>
    <t>02-0523-034</t>
  </si>
  <si>
    <t>Muhammad Dicky Hendriawan</t>
  </si>
  <si>
    <t>02-0523-035</t>
  </si>
  <si>
    <t>Miftakhudin</t>
  </si>
  <si>
    <t>02-0524-025</t>
  </si>
  <si>
    <t>Rizal Priambodo</t>
  </si>
  <si>
    <t>02-0524-026</t>
  </si>
  <si>
    <t>Rokhmatulloh</t>
  </si>
  <si>
    <t>02-0524-027</t>
  </si>
  <si>
    <t>Fariz Nur Fallah</t>
  </si>
  <si>
    <t>02-0524-028</t>
  </si>
  <si>
    <t>Rio Pratama</t>
  </si>
  <si>
    <t>02-0524-029</t>
  </si>
  <si>
    <t>Valentino Wahyudi Agung</t>
  </si>
  <si>
    <t>02-0524-030</t>
  </si>
  <si>
    <t>Berliana Alda Mawarni</t>
  </si>
  <si>
    <t>02-0619-312</t>
  </si>
  <si>
    <t>Purwito</t>
  </si>
  <si>
    <t>02-0622-085</t>
  </si>
  <si>
    <t>Muhammad Fakhrudin Yusuf</t>
  </si>
  <si>
    <t>Income Audit</t>
  </si>
  <si>
    <t>02-0622-086</t>
  </si>
  <si>
    <t>Anugrahningsih Novi Kusumadewi</t>
  </si>
  <si>
    <t>02-0622-088</t>
  </si>
  <si>
    <t>Jaenudin</t>
  </si>
  <si>
    <t>Retail Team Leader</t>
  </si>
  <si>
    <t>02-0622-091</t>
  </si>
  <si>
    <t>Dimas Din Ramadhan</t>
  </si>
  <si>
    <t>02-0622-095</t>
  </si>
  <si>
    <t>Dwi Sulistyorini</t>
  </si>
  <si>
    <t>02-0623-037</t>
  </si>
  <si>
    <t>Dena Novita Sari</t>
  </si>
  <si>
    <t>Infrastructure &amp; Network</t>
  </si>
  <si>
    <t>Infrastruktur Crew</t>
  </si>
  <si>
    <t>02-0623-039</t>
  </si>
  <si>
    <t>Farizki Adi Pratama</t>
  </si>
  <si>
    <t>02-0623-040</t>
  </si>
  <si>
    <t>Andre Wijaksono</t>
  </si>
  <si>
    <t>02-0623-041</t>
  </si>
  <si>
    <t>Kholif Rizqi Alsyihdi</t>
  </si>
  <si>
    <t>02-0623-045</t>
  </si>
  <si>
    <t>Fida Andriyana</t>
  </si>
  <si>
    <t>Maintenance Manager</t>
  </si>
  <si>
    <t>02-0623-046</t>
  </si>
  <si>
    <t>Hanurawan Nugroho</t>
  </si>
  <si>
    <t>02-0623-047</t>
  </si>
  <si>
    <t>Aditya Isfaudin</t>
  </si>
  <si>
    <t>02-0624-031</t>
  </si>
  <si>
    <t>Desi Ardian Sukma Handayani</t>
  </si>
  <si>
    <t>Angon ingon Admin</t>
  </si>
  <si>
    <t>02-0624-032</t>
  </si>
  <si>
    <t>Sri Purwani</t>
  </si>
  <si>
    <t>02-0624-033</t>
  </si>
  <si>
    <t>Bagus Hamka Purnomo</t>
  </si>
  <si>
    <t>02-0624-034</t>
  </si>
  <si>
    <t>02-0624-035</t>
  </si>
  <si>
    <t>Agil Bagaskara</t>
  </si>
  <si>
    <t>02-0624-036</t>
  </si>
  <si>
    <t>Tubagus Fudyantama</t>
  </si>
  <si>
    <t>ME Team Leader</t>
  </si>
  <si>
    <t>02-0718-034</t>
  </si>
  <si>
    <t>Nanda Nizar Abdul Malik</t>
  </si>
  <si>
    <t>Sound &amp; Lighting</t>
  </si>
  <si>
    <t>Sound &amp; Lighting Crew</t>
  </si>
  <si>
    <t>02-0719-333</t>
  </si>
  <si>
    <t>Bagas Widyantoro</t>
  </si>
  <si>
    <t>02-0719-337</t>
  </si>
  <si>
    <t>Muhammad Rozid AlFaizi</t>
  </si>
  <si>
    <t>02-0719-358</t>
  </si>
  <si>
    <t>Didik Nugroho</t>
  </si>
  <si>
    <t>02-0719-375</t>
  </si>
  <si>
    <t>Agus Ivan Kurniawan</t>
  </si>
  <si>
    <t>02-0719-383</t>
  </si>
  <si>
    <t>Zoelfa Arifudin</t>
  </si>
  <si>
    <t>Infrastructure &amp; network officer</t>
  </si>
  <si>
    <t>02-0719-388</t>
  </si>
  <si>
    <t>Banu Susanto</t>
  </si>
  <si>
    <t>Warehouse Officer</t>
  </si>
  <si>
    <t>02-0722-098</t>
  </si>
  <si>
    <t>Arga Ryan Saputra</t>
  </si>
  <si>
    <t>02-0722-103</t>
  </si>
  <si>
    <t>Ahmad Nur Hakam</t>
  </si>
  <si>
    <t>02-0722-104</t>
  </si>
  <si>
    <t>Suramin</t>
  </si>
  <si>
    <t>Cook Helper</t>
  </si>
  <si>
    <t>02-0722-105</t>
  </si>
  <si>
    <t>Wahyu Aditya Prasetyo</t>
  </si>
  <si>
    <t>02-0722-107</t>
  </si>
  <si>
    <t>Edi Prastyo</t>
  </si>
  <si>
    <t>02-0722-108</t>
  </si>
  <si>
    <t>Sopiana</t>
  </si>
  <si>
    <t>Operation General Manager</t>
  </si>
  <si>
    <t>02-0723-048</t>
  </si>
  <si>
    <t>Johannes Harwanto</t>
  </si>
  <si>
    <t>02-0818-047</t>
  </si>
  <si>
    <t>Rio Ari Suryantoro</t>
  </si>
  <si>
    <t>Cleaning &amp; Security SPV</t>
  </si>
  <si>
    <t>02-0818-050</t>
  </si>
  <si>
    <t>Hermawan Tri Pamungkas</t>
  </si>
  <si>
    <t>02-0818-053</t>
  </si>
  <si>
    <t>Tafdhil Munir</t>
  </si>
  <si>
    <t>02-0819-392</t>
  </si>
  <si>
    <t>Muhammad Riyadhoh</t>
  </si>
  <si>
    <t>Cashier Crew</t>
  </si>
  <si>
    <t>02-0820-530</t>
  </si>
  <si>
    <t>Jati Waskito Prakoso Gesang</t>
  </si>
  <si>
    <t>Distribution Team Leader</t>
  </si>
  <si>
    <t>02-0820-531</t>
  </si>
  <si>
    <t>Supriyanto</t>
  </si>
  <si>
    <t>02-0820-532</t>
  </si>
  <si>
    <t>Mujayana</t>
  </si>
  <si>
    <t>02-0820-533</t>
  </si>
  <si>
    <t>Eni Istiani</t>
  </si>
  <si>
    <t>PJ Finance officer</t>
  </si>
  <si>
    <t>02-0822-114</t>
  </si>
  <si>
    <t>Lanvin Fransiska Melsiana</t>
  </si>
  <si>
    <t>02-0822-129</t>
  </si>
  <si>
    <t>Yohan Fortuna</t>
  </si>
  <si>
    <t>02-0823-051</t>
  </si>
  <si>
    <t>Aditya Rangga Saputra</t>
  </si>
  <si>
    <t>02-0823-053</t>
  </si>
  <si>
    <t>Chandra Rizky Ramadhan</t>
  </si>
  <si>
    <t>02-0823-054</t>
  </si>
  <si>
    <t>Izan Alfa Jawad</t>
  </si>
  <si>
    <t>02-0823-056</t>
  </si>
  <si>
    <t>Leones Ade Tiara</t>
  </si>
  <si>
    <t>02-0823-057</t>
  </si>
  <si>
    <t>Trio Setiatmoko</t>
  </si>
  <si>
    <t>Warehouse Crew</t>
  </si>
  <si>
    <t>02-0823-058</t>
  </si>
  <si>
    <t>Fajar Kusuma Hanu Kencana</t>
  </si>
  <si>
    <t>02-0824-037</t>
  </si>
  <si>
    <t>Taufik Anggara</t>
  </si>
  <si>
    <t>02-0824-038</t>
  </si>
  <si>
    <t>David Satriyo</t>
  </si>
  <si>
    <t>02-0824-039</t>
  </si>
  <si>
    <t>Muhammad Jovanka Alvian</t>
  </si>
  <si>
    <t>02-0824-040</t>
  </si>
  <si>
    <t>Eko Prasetyo</t>
  </si>
  <si>
    <t>02-0824-041</t>
  </si>
  <si>
    <t>Affifudin Hidayatullah</t>
  </si>
  <si>
    <t>02-0824-042</t>
  </si>
  <si>
    <t>Joko Prihatin Rahayu</t>
  </si>
  <si>
    <t>02-0824-043</t>
  </si>
  <si>
    <t>Fendi Sukmariyanto</t>
  </si>
  <si>
    <t>02-0824-044</t>
  </si>
  <si>
    <t>Diki Wahyu Saputro</t>
  </si>
  <si>
    <t>02-0824-045</t>
  </si>
  <si>
    <t>Umar Ma'ruf</t>
  </si>
  <si>
    <t>02-0824-046</t>
  </si>
  <si>
    <t>Citra Aurelia Putri</t>
  </si>
  <si>
    <t>Asset Management Officer</t>
  </si>
  <si>
    <t>02-0906-044</t>
  </si>
  <si>
    <t>Nurul Arifah Sitaresmi</t>
  </si>
  <si>
    <t>Manager Finance &amp; Accounting</t>
  </si>
  <si>
    <t>02-0918-061</t>
  </si>
  <si>
    <t>Son Loka Presti</t>
  </si>
  <si>
    <t>02-0919-401</t>
  </si>
  <si>
    <t>Catur Aldi Styoko</t>
  </si>
  <si>
    <t>02-0919-402</t>
  </si>
  <si>
    <t>Gilang Perdana</t>
  </si>
  <si>
    <t>02-0919-410</t>
  </si>
  <si>
    <t>Hasnul Wahyudin</t>
  </si>
  <si>
    <t>02-0919-412</t>
  </si>
  <si>
    <t>Arya Nugraha</t>
  </si>
  <si>
    <t>Corporate Communication Spv</t>
  </si>
  <si>
    <t>02-0919-414</t>
  </si>
  <si>
    <t>Anisa Ayu Muttaqina</t>
  </si>
  <si>
    <t>02-0919-415</t>
  </si>
  <si>
    <t>Mohamad Sholahudin</t>
  </si>
  <si>
    <t>02-0920-537</t>
  </si>
  <si>
    <t>Setiyo Hermawan</t>
  </si>
  <si>
    <t>Perawat</t>
  </si>
  <si>
    <t>02-0920-545</t>
  </si>
  <si>
    <t>Shinta Oktaviana</t>
  </si>
  <si>
    <t>02-0920-547</t>
  </si>
  <si>
    <t>Joko Susilo</t>
  </si>
  <si>
    <t>Danru Security</t>
  </si>
  <si>
    <t>02-0920-550</t>
  </si>
  <si>
    <t>Iwan Setyawan</t>
  </si>
  <si>
    <t>Wakil Danru Security</t>
  </si>
  <si>
    <t>02-0920-551</t>
  </si>
  <si>
    <t>Gundari</t>
  </si>
  <si>
    <t>02-0920-552</t>
  </si>
  <si>
    <t>Sungkowo Lilik Gian</t>
  </si>
  <si>
    <t>02-0920-553</t>
  </si>
  <si>
    <t>Muh Sabar</t>
  </si>
  <si>
    <t>02-0920-554</t>
  </si>
  <si>
    <t>Arif Wahyudin</t>
  </si>
  <si>
    <t>02-0920-556</t>
  </si>
  <si>
    <t>Nur Rohmat</t>
  </si>
  <si>
    <t>02-0920-557</t>
  </si>
  <si>
    <t>Diah Kristiani</t>
  </si>
  <si>
    <t>02-0920-559</t>
  </si>
  <si>
    <t>Putut Puji Widodo</t>
  </si>
  <si>
    <t>02-0920-560</t>
  </si>
  <si>
    <t>M. Rohadi</t>
  </si>
  <si>
    <t>02-0920-562</t>
  </si>
  <si>
    <t>Juweni</t>
  </si>
  <si>
    <t>02-0920-566</t>
  </si>
  <si>
    <t>Suhudi</t>
  </si>
  <si>
    <t>02-0920-568</t>
  </si>
  <si>
    <t>Joko Santoso</t>
  </si>
  <si>
    <t>02-0920-570</t>
  </si>
  <si>
    <t>Arif Rahmanto</t>
  </si>
  <si>
    <t>02-0921-046</t>
  </si>
  <si>
    <t>Trimanto</t>
  </si>
  <si>
    <t>02-0922-115</t>
  </si>
  <si>
    <t>Sascia Ananda Dwi Indarwati</t>
  </si>
  <si>
    <t>02-0922-117</t>
  </si>
  <si>
    <t>Alwi Akbar</t>
  </si>
  <si>
    <t>02-0922-119</t>
  </si>
  <si>
    <t>Fahma Izzati</t>
  </si>
  <si>
    <t>02-0922-120</t>
  </si>
  <si>
    <t>Wita Aliffia Putri</t>
  </si>
  <si>
    <t>02-0922-121</t>
  </si>
  <si>
    <t>Oktaviana Putri Ramadhani</t>
  </si>
  <si>
    <t>02-0922-122</t>
  </si>
  <si>
    <t>Marchelina Dwi Putri Cahyani</t>
  </si>
  <si>
    <t>02-0922-124</t>
  </si>
  <si>
    <t>Rafi Ilham Ismawan</t>
  </si>
  <si>
    <t>02-0922-127</t>
  </si>
  <si>
    <t>Angger Maret Saratri</t>
  </si>
  <si>
    <t>Sales Edutainment SPV</t>
  </si>
  <si>
    <t>02-0922-130</t>
  </si>
  <si>
    <t>Rizaldy Giardion</t>
  </si>
  <si>
    <t>02-0922-131</t>
  </si>
  <si>
    <t>Edy Maryono</t>
  </si>
  <si>
    <t>02-0922-132</t>
  </si>
  <si>
    <t>Muhamat Ali Imron</t>
  </si>
  <si>
    <t>02-0922-133</t>
  </si>
  <si>
    <t>Agung Fajar Baru</t>
  </si>
  <si>
    <t>02-0922-134</t>
  </si>
  <si>
    <t>Iwan Prakosa</t>
  </si>
  <si>
    <t>Sales Corporate Spv</t>
  </si>
  <si>
    <t>02-0922-136</t>
  </si>
  <si>
    <t>A. Widhi Mukti Anugro</t>
  </si>
  <si>
    <t>02-0922-137</t>
  </si>
  <si>
    <t>Muhamad Danusiri</t>
  </si>
  <si>
    <t>02-0922-138</t>
  </si>
  <si>
    <t>Anisya Seffian Tri Mulya</t>
  </si>
  <si>
    <t>02-0922-139</t>
  </si>
  <si>
    <t>Agus Setiawan</t>
  </si>
  <si>
    <t>02-0922-142</t>
  </si>
  <si>
    <t>Ilham Indra Mawan</t>
  </si>
  <si>
    <t>02-0922-144</t>
  </si>
  <si>
    <t>Ridwan Fathurochim</t>
  </si>
  <si>
    <t>02-0922-148</t>
  </si>
  <si>
    <t>Sallsabila</t>
  </si>
  <si>
    <t>02-0922-151</t>
  </si>
  <si>
    <t>Andry Sus Darista</t>
  </si>
  <si>
    <t>02-0922-152</t>
  </si>
  <si>
    <t>Andri Bagus Septiawan</t>
  </si>
  <si>
    <t>02-0922-153</t>
  </si>
  <si>
    <t>Denny Susanto</t>
  </si>
  <si>
    <t>02-0922-154</t>
  </si>
  <si>
    <t>Ponijan</t>
  </si>
  <si>
    <t>02-0922-158</t>
  </si>
  <si>
    <t>Ganang Yaqut Haqqul Fatta</t>
  </si>
  <si>
    <t>02-0922-162</t>
  </si>
  <si>
    <t>Shinta Kusumawardhani</t>
  </si>
  <si>
    <t>Event Management Officer</t>
  </si>
  <si>
    <t>02-0922-169</t>
  </si>
  <si>
    <t>Muhammad Irwan Himawan</t>
  </si>
  <si>
    <t>02-0922-170</t>
  </si>
  <si>
    <t>Arinda Dwi Utomo</t>
  </si>
  <si>
    <t>02-0922-171</t>
  </si>
  <si>
    <t>Yohanes Tiyeri Putra Ganggur</t>
  </si>
  <si>
    <t>Desain Graphic Officer</t>
  </si>
  <si>
    <t>02-0922-172</t>
  </si>
  <si>
    <t>Valentino Febriant Nugraha Putra</t>
  </si>
  <si>
    <t>Programmer Officer</t>
  </si>
  <si>
    <t>02-0923-060</t>
  </si>
  <si>
    <t>Agnes Cherrly</t>
  </si>
  <si>
    <t>Barista</t>
  </si>
  <si>
    <t>02-0923-061</t>
  </si>
  <si>
    <t>Akhmad Khaerul Umam</t>
  </si>
  <si>
    <t>02-0923-063</t>
  </si>
  <si>
    <t>Sukir</t>
  </si>
  <si>
    <t>02-0923-067</t>
  </si>
  <si>
    <t>Samuel Reynaldi</t>
  </si>
  <si>
    <t>02-0924-047</t>
  </si>
  <si>
    <t>Krisyanto</t>
  </si>
  <si>
    <t>02-1018-068</t>
  </si>
  <si>
    <t>Widiya Astuti</t>
  </si>
  <si>
    <t>Partnership &amp; Support SPV</t>
  </si>
  <si>
    <t>02-1019-425</t>
  </si>
  <si>
    <t>Ajeng Nurmalitasari</t>
  </si>
  <si>
    <t>Warehouse Staff</t>
  </si>
  <si>
    <t>02-1019-428</t>
  </si>
  <si>
    <t>Fx. Fery Eko Setiawan</t>
  </si>
  <si>
    <t>IT Helpdesk</t>
  </si>
  <si>
    <t>02-1020-571</t>
  </si>
  <si>
    <t>Desi Ramadina</t>
  </si>
  <si>
    <t>Ride Officer</t>
  </si>
  <si>
    <t>02-1020-575</t>
  </si>
  <si>
    <t>Ahmad Khoirul Anam</t>
  </si>
  <si>
    <t>02-1020-576</t>
  </si>
  <si>
    <t>Redi Setiyawan</t>
  </si>
  <si>
    <t>02-1021-049</t>
  </si>
  <si>
    <t>Imam Sukri Nawawi</t>
  </si>
  <si>
    <t>02-1022-173</t>
  </si>
  <si>
    <t>Miftahunnaim</t>
  </si>
  <si>
    <t>02-1022-174</t>
  </si>
  <si>
    <t>Ahmad Hariyanto</t>
  </si>
  <si>
    <t>02-1022-176</t>
  </si>
  <si>
    <t>Rizky Dian Pratama</t>
  </si>
  <si>
    <t>02-1022-180</t>
  </si>
  <si>
    <t>Junjung Allif Muzaki</t>
  </si>
  <si>
    <t>02-1022-181</t>
  </si>
  <si>
    <t>Ngamarudin</t>
  </si>
  <si>
    <t>02-1023-068</t>
  </si>
  <si>
    <t>Suryadi</t>
  </si>
  <si>
    <t>02-1023-069</t>
  </si>
  <si>
    <t>Slamet Lastoro</t>
  </si>
  <si>
    <t>02-1023-070</t>
  </si>
  <si>
    <t>Catur Budiharto</t>
  </si>
  <si>
    <t>Operation SPV</t>
  </si>
  <si>
    <t>02-1118-084</t>
  </si>
  <si>
    <t>Ariyono</t>
  </si>
  <si>
    <t>Team Leader Area</t>
  </si>
  <si>
    <t>02-1118-102</t>
  </si>
  <si>
    <t>Dedi Suprayitno</t>
  </si>
  <si>
    <t>02-1118-123</t>
  </si>
  <si>
    <t>Muhamad Najichin Ihwan</t>
  </si>
  <si>
    <t>Retail &amp; Merchandise Officer</t>
  </si>
  <si>
    <t>02-1118-147</t>
  </si>
  <si>
    <t>Chicik Kusworo</t>
  </si>
  <si>
    <t>Cook Team Leader</t>
  </si>
  <si>
    <t>02-1118-159</t>
  </si>
  <si>
    <t>Fanni Kuswandani</t>
  </si>
  <si>
    <t>02-1118-161</t>
  </si>
  <si>
    <t>Zaenal Arifin</t>
  </si>
  <si>
    <t>Demi Chef</t>
  </si>
  <si>
    <t>02-1118-173</t>
  </si>
  <si>
    <t>Robby Cahyadi</t>
  </si>
  <si>
    <t>Angon Ingon Officer</t>
  </si>
  <si>
    <t>02-1118-174</t>
  </si>
  <si>
    <t>Akhdan Subkhani</t>
  </si>
  <si>
    <t>GA SPV</t>
  </si>
  <si>
    <t>02-1118-175</t>
  </si>
  <si>
    <t>Rizky Agung Hendrawan</t>
  </si>
  <si>
    <t>SPV Aplikasi &amp; Sistem</t>
  </si>
  <si>
    <t>02-1119-446</t>
  </si>
  <si>
    <t>Misbahul Munir</t>
  </si>
  <si>
    <t>Landscape Leader</t>
  </si>
  <si>
    <t>02-1119-452</t>
  </si>
  <si>
    <t>Yusman Ardiansyah</t>
  </si>
  <si>
    <t>02-1120-578</t>
  </si>
  <si>
    <t>Steven Eranda</t>
  </si>
  <si>
    <t>02-1120-579</t>
  </si>
  <si>
    <t>Riyanto</t>
  </si>
  <si>
    <t>02-1120-581</t>
  </si>
  <si>
    <t>Alvin Sahana</t>
  </si>
  <si>
    <t>02-1122-182</t>
  </si>
  <si>
    <t>Shinta Regina</t>
  </si>
  <si>
    <t>02-1122-186</t>
  </si>
  <si>
    <t>Arif Iko Zulkarim</t>
  </si>
  <si>
    <t>02-1122-187</t>
  </si>
  <si>
    <t>Aditiyo Cahyadi Setiawan</t>
  </si>
  <si>
    <t>Operational Crew</t>
  </si>
  <si>
    <t>02-1122-191</t>
  </si>
  <si>
    <t>Witri Mulyani</t>
  </si>
  <si>
    <t>02-1123-073</t>
  </si>
  <si>
    <t>Siti Zaniah</t>
  </si>
  <si>
    <t>Recruitment Officer</t>
  </si>
  <si>
    <t>02-1123-075</t>
  </si>
  <si>
    <t>Jonathan Kristianto</t>
  </si>
  <si>
    <t>Inpark Revenue</t>
  </si>
  <si>
    <t>Inpark Revenue Manager</t>
  </si>
  <si>
    <t>02-1123-076</t>
  </si>
  <si>
    <t>Firdaus Novianto</t>
  </si>
  <si>
    <t>02-1123-077</t>
  </si>
  <si>
    <t>Ahmad Khasan Al Fauzi</t>
  </si>
  <si>
    <t>02-1124-049</t>
  </si>
  <si>
    <t>Ailan Aprilia Agustina</t>
  </si>
  <si>
    <t>Marketing Communication SPV</t>
  </si>
  <si>
    <t>02-1124-050</t>
  </si>
  <si>
    <t>Danu Widi Krismara</t>
  </si>
  <si>
    <t>Manager Sales</t>
  </si>
  <si>
    <t>02-1218-182</t>
  </si>
  <si>
    <t>Andreas Widyasmara</t>
  </si>
  <si>
    <t>02-1218-213</t>
  </si>
  <si>
    <t>Wahyu Imam prasetyo</t>
  </si>
  <si>
    <t>Marketing Support</t>
  </si>
  <si>
    <t>02-1218-214</t>
  </si>
  <si>
    <t>Risa Emawati</t>
  </si>
  <si>
    <t>02-1218-216</t>
  </si>
  <si>
    <t>Nur Kholis Alrosyid</t>
  </si>
  <si>
    <t>Inpark Revenue Operation Spv</t>
  </si>
  <si>
    <t>02-1218-225</t>
  </si>
  <si>
    <t>Shinta Oktaviyanti</t>
  </si>
  <si>
    <t>02-1218-240</t>
  </si>
  <si>
    <t>Siti Fatmaul Khoiriah</t>
  </si>
  <si>
    <t>02-1219-492</t>
  </si>
  <si>
    <t>Muhamad Alaik Mufid</t>
  </si>
  <si>
    <t>02-1219-501</t>
  </si>
  <si>
    <t>Agus Dwi Suparwanto</t>
  </si>
  <si>
    <t>Frontend Programmer</t>
  </si>
  <si>
    <t>02-1220-586</t>
  </si>
  <si>
    <t>Agung Prasetyo</t>
  </si>
  <si>
    <t>02-1220-594</t>
  </si>
  <si>
    <t>Rino Apriliano</t>
  </si>
  <si>
    <t>02-1220-597</t>
  </si>
  <si>
    <t>Judi</t>
  </si>
  <si>
    <t>Legal</t>
  </si>
  <si>
    <t>Corporate Secretary &amp; Legal Officer</t>
  </si>
  <si>
    <t>02-1220-598</t>
  </si>
  <si>
    <t>Suci Rahayu</t>
  </si>
  <si>
    <t>02-1220-600</t>
  </si>
  <si>
    <t>Danu Agus Istiyono</t>
  </si>
  <si>
    <t>02-1220-603</t>
  </si>
  <si>
    <t>CH. Arjuna Armayana Wijaya</t>
  </si>
  <si>
    <t>02-1220-604</t>
  </si>
  <si>
    <t>Tri Rizqi Agung</t>
  </si>
  <si>
    <t>02-1220-608</t>
  </si>
  <si>
    <t>Athin Pratiwi</t>
  </si>
  <si>
    <t>02-1220-611</t>
  </si>
  <si>
    <t>Muhammad Ihsan Ma'arif</t>
  </si>
  <si>
    <t>02-1220-612</t>
  </si>
  <si>
    <t>Rizky Ilham Maulana</t>
  </si>
  <si>
    <t>02-1220-616</t>
  </si>
  <si>
    <t>Tri Hidayat</t>
  </si>
  <si>
    <t>02-1220-621</t>
  </si>
  <si>
    <t>Krisna Danang Kurniawan</t>
  </si>
  <si>
    <t>02-1220-625</t>
  </si>
  <si>
    <t>Tri Listyo Anggoro</t>
  </si>
  <si>
    <t>02-1220-627</t>
  </si>
  <si>
    <t>Agung Zuhri Tajdid</t>
  </si>
  <si>
    <t>02-1220-628</t>
  </si>
  <si>
    <t>Busaeri</t>
  </si>
  <si>
    <t>02-1220-629</t>
  </si>
  <si>
    <t>Muhammad Bagus Hidayatulloh</t>
  </si>
  <si>
    <t>02-1220-630</t>
  </si>
  <si>
    <t>Titin Nurul Hidayah</t>
  </si>
  <si>
    <t>02-1220-631</t>
  </si>
  <si>
    <t>Marissa Akmalia</t>
  </si>
  <si>
    <t>02-1220-634</t>
  </si>
  <si>
    <t>Muchlis Arif Hidayat</t>
  </si>
  <si>
    <t>Operation Officer</t>
  </si>
  <si>
    <t>02-1220-636</t>
  </si>
  <si>
    <t>Adi Setyawan</t>
  </si>
  <si>
    <t>02-1220-637</t>
  </si>
  <si>
    <t>Siti Inayah</t>
  </si>
  <si>
    <t>02-1220-638</t>
  </si>
  <si>
    <t>Eka Prasetiya</t>
  </si>
  <si>
    <t>02-1220-640</t>
  </si>
  <si>
    <t>Ignatius Edi Purwoko</t>
  </si>
  <si>
    <t>02-1220-641</t>
  </si>
  <si>
    <t>Omar Yudi Pamungkas</t>
  </si>
  <si>
    <t>02-1220-642</t>
  </si>
  <si>
    <t>Suprapto</t>
  </si>
  <si>
    <t>02-1221-053</t>
  </si>
  <si>
    <t>Feri Solech Wibowo</t>
  </si>
  <si>
    <t>02-1221-054</t>
  </si>
  <si>
    <t>Kristian Fajar Pamuji</t>
  </si>
  <si>
    <t>02-1222-192</t>
  </si>
  <si>
    <t>Jaka Setiawan</t>
  </si>
  <si>
    <t>02-1222-193</t>
  </si>
  <si>
    <t>Arif Muhamad Fajar</t>
  </si>
  <si>
    <t>Research &amp; Analysis Officer</t>
  </si>
  <si>
    <t>02-1223-078</t>
  </si>
  <si>
    <t>Rebecca Elisabeth Juliana</t>
  </si>
  <si>
    <t>Safety Officer</t>
  </si>
  <si>
    <t>02-1224-051</t>
  </si>
  <si>
    <t>Verence Rapita Indah</t>
  </si>
  <si>
    <t>Civil SPV</t>
  </si>
  <si>
    <t>02-1224-052</t>
  </si>
  <si>
    <t>Andi Orsi Prabana</t>
  </si>
  <si>
    <t>Trial Data</t>
  </si>
  <si>
    <t>99-9999-99</t>
  </si>
  <si>
    <t>User Trial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</si>
</sst>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loud-saloka\PAYROLL\2025\3.%20Payroll%20Maret%202025\Gaji%20Maret%202025.xlsx" TargetMode="External"/><Relationship Id="rId1" Type="http://schemas.openxmlformats.org/officeDocument/2006/relationships/externalLinkPath" Target="file:///D:\cloud-saloka\PAYROLL\2025\3.%20Payroll%20Maret%202025\Gaji%20Mare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"/>
      <sheetName val="Catatan Payroll"/>
      <sheetName val="Absensi"/>
      <sheetName val="Lembur Februari"/>
      <sheetName val="Resign"/>
      <sheetName val="Prorate"/>
      <sheetName val="trainer"/>
      <sheetName val="Hutang ke perusahaan"/>
    </sheetNames>
    <sheetDataSet>
      <sheetData sheetId="0"/>
      <sheetData sheetId="1">
        <row r="1">
          <cell r="B1" t="str">
            <v>DATA KARYAWAN</v>
          </cell>
          <cell r="O1" t="str">
            <v>GAJI + TUNJ TETAP</v>
          </cell>
          <cell r="S1" t="str">
            <v>TUNJANGAN TIDAK TETAP</v>
          </cell>
          <cell r="Y1" t="str">
            <v>BPJS &amp; PPH dibayarkan perusahaan</v>
          </cell>
          <cell r="AD1" t="str">
            <v>POTONGAN KE PERUSAHAAN</v>
          </cell>
        </row>
        <row r="2">
          <cell r="B2" t="str">
            <v>NIP</v>
          </cell>
          <cell r="C2" t="str">
            <v>NAMA KARYAWAN</v>
          </cell>
          <cell r="D2" t="str">
            <v>KONTRAK</v>
          </cell>
          <cell r="E2" t="str">
            <v>STATUS AKTIF</v>
          </cell>
          <cell r="F2" t="str">
            <v>SP</v>
          </cell>
          <cell r="G2" t="str">
            <v>Lama kerja (bulan)</v>
          </cell>
          <cell r="H2" t="str">
            <v>DEPT</v>
          </cell>
          <cell r="I2" t="str">
            <v>SUB DEPT</v>
          </cell>
          <cell r="J2" t="str">
            <v>JABATAN</v>
          </cell>
          <cell r="K2" t="str">
            <v>GRADE</v>
          </cell>
          <cell r="L2" t="str">
            <v>NO REKENING</v>
          </cell>
          <cell r="M2" t="str">
            <v>Feb</v>
          </cell>
          <cell r="N2" t="str">
            <v>SKEMA HARI KERJA</v>
          </cell>
          <cell r="O2" t="str">
            <v>GAJI POKOK</v>
          </cell>
          <cell r="P2" t="str">
            <v>JABATAN</v>
          </cell>
          <cell r="Q2" t="str">
            <v>KEAHLIAN</v>
          </cell>
          <cell r="R2" t="str">
            <v>SUBTOTAL</v>
          </cell>
          <cell r="S2" t="str">
            <v>TRANSPORT / HARI</v>
          </cell>
          <cell r="T2" t="str">
            <v>TRANSPORT DIBAYARKAN</v>
          </cell>
          <cell r="U2" t="str">
            <v>KOMUNIKASI</v>
          </cell>
          <cell r="V2" t="str">
            <v>LEMBUR</v>
          </cell>
          <cell r="W2" t="str">
            <v>LAIN - LAIN</v>
          </cell>
          <cell r="X2" t="str">
            <v xml:space="preserve">PRORATE </v>
          </cell>
          <cell r="Y2" t="str">
            <v>BPJS KES</v>
          </cell>
          <cell r="Z2" t="str">
            <v>BPJS TK</v>
          </cell>
          <cell r="AA2" t="str">
            <v>BPJS JP</v>
          </cell>
          <cell r="AB2" t="str">
            <v>Pph 21</v>
          </cell>
          <cell r="AC2" t="str">
            <v>GROSS SALARY</v>
          </cell>
          <cell r="AD2" t="str">
            <v>BPJS Kes</v>
          </cell>
          <cell r="AE2" t="str">
            <v>BPJS TK</v>
          </cell>
          <cell r="AF2" t="str">
            <v>BPJS TK-JP</v>
          </cell>
          <cell r="AG2" t="str">
            <v>Absensi/ Hutang Absen</v>
          </cell>
          <cell r="AH2" t="str">
            <v>Hutang ke perusahaan</v>
          </cell>
          <cell r="AI2" t="str">
            <v>LAIN - LAIN</v>
          </cell>
        </row>
        <row r="3">
          <cell r="B3" t="str">
            <v>01-1117-008</v>
          </cell>
          <cell r="C3" t="str">
            <v>Ande Suleindy Suryopatih</v>
          </cell>
          <cell r="D3" t="str">
            <v>Tetap</v>
          </cell>
          <cell r="E3" t="str">
            <v>Aktif</v>
          </cell>
          <cell r="G3">
            <v>88</v>
          </cell>
          <cell r="H3" t="str">
            <v>Procurement &amp; GA</v>
          </cell>
          <cell r="I3" t="str">
            <v>Procurement &amp; GA</v>
          </cell>
          <cell r="J3" t="str">
            <v>Procurement &amp; GA Manager</v>
          </cell>
          <cell r="K3" t="str">
            <v>Manager</v>
          </cell>
          <cell r="L3">
            <v>5220767649</v>
          </cell>
          <cell r="M3">
            <v>20</v>
          </cell>
          <cell r="N3">
            <v>21</v>
          </cell>
          <cell r="O3">
            <v>10735688</v>
          </cell>
          <cell r="P3">
            <v>2000000</v>
          </cell>
          <cell r="Q3">
            <v>0</v>
          </cell>
          <cell r="R3">
            <v>12735688</v>
          </cell>
          <cell r="S3">
            <v>47600</v>
          </cell>
          <cell r="T3">
            <v>952000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480000</v>
          </cell>
          <cell r="Z3">
            <v>578200</v>
          </cell>
          <cell r="AA3">
            <v>210948</v>
          </cell>
          <cell r="AC3">
            <v>13687688</v>
          </cell>
          <cell r="AD3">
            <v>120000</v>
          </cell>
          <cell r="AE3">
            <v>254714</v>
          </cell>
          <cell r="AF3">
            <v>105474</v>
          </cell>
          <cell r="AG3">
            <v>0</v>
          </cell>
          <cell r="AH3">
            <v>0</v>
          </cell>
          <cell r="AI3">
            <v>0</v>
          </cell>
        </row>
        <row r="4">
          <cell r="B4" t="str">
            <v>02-0117-009</v>
          </cell>
          <cell r="C4" t="str">
            <v>Kharis Afifudin</v>
          </cell>
          <cell r="D4" t="str">
            <v>Kontrak</v>
          </cell>
          <cell r="E4" t="str">
            <v>Aktif</v>
          </cell>
          <cell r="G4">
            <v>98</v>
          </cell>
          <cell r="H4" t="str">
            <v>Procurement &amp; GA</v>
          </cell>
          <cell r="I4" t="str">
            <v>GA</v>
          </cell>
          <cell r="J4" t="str">
            <v>GA Crew</v>
          </cell>
          <cell r="K4" t="str">
            <v>Crew</v>
          </cell>
          <cell r="L4" t="str">
            <v>0131159802</v>
          </cell>
          <cell r="M4">
            <v>18</v>
          </cell>
          <cell r="N4">
            <v>21</v>
          </cell>
          <cell r="O4">
            <v>2824467</v>
          </cell>
          <cell r="P4">
            <v>0</v>
          </cell>
          <cell r="Q4">
            <v>0</v>
          </cell>
          <cell r="R4">
            <v>2824467</v>
          </cell>
          <cell r="S4">
            <v>10000</v>
          </cell>
          <cell r="T4">
            <v>180000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112979</v>
          </cell>
          <cell r="Z4">
            <v>128231</v>
          </cell>
          <cell r="AA4">
            <v>56489</v>
          </cell>
          <cell r="AC4">
            <v>3004467</v>
          </cell>
          <cell r="AD4">
            <v>28245</v>
          </cell>
          <cell r="AE4">
            <v>56489</v>
          </cell>
          <cell r="AF4">
            <v>28245</v>
          </cell>
          <cell r="AG4">
            <v>0</v>
          </cell>
          <cell r="AH4">
            <v>0</v>
          </cell>
          <cell r="AI4">
            <v>0</v>
          </cell>
        </row>
        <row r="5">
          <cell r="B5" t="str">
            <v>02-0418-011</v>
          </cell>
          <cell r="C5" t="str">
            <v>Daniel Joko Sismanto</v>
          </cell>
          <cell r="D5" t="str">
            <v>Tetap</v>
          </cell>
          <cell r="E5" t="str">
            <v>Aktif</v>
          </cell>
          <cell r="G5">
            <v>83</v>
          </cell>
          <cell r="H5" t="str">
            <v>Maintenance</v>
          </cell>
          <cell r="I5" t="str">
            <v>Maintenance</v>
          </cell>
          <cell r="J5" t="str">
            <v>Ride SPV</v>
          </cell>
          <cell r="K5" t="str">
            <v>SPV</v>
          </cell>
          <cell r="L5" t="str">
            <v>0131153731</v>
          </cell>
          <cell r="M5">
            <v>20</v>
          </cell>
          <cell r="N5">
            <v>25</v>
          </cell>
          <cell r="O5">
            <v>5237677</v>
          </cell>
          <cell r="P5">
            <v>1000000</v>
          </cell>
          <cell r="Q5">
            <v>300000</v>
          </cell>
          <cell r="R5">
            <v>6537677</v>
          </cell>
          <cell r="S5">
            <v>19000</v>
          </cell>
          <cell r="T5">
            <v>380000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261507</v>
          </cell>
          <cell r="Z5">
            <v>296811</v>
          </cell>
          <cell r="AA5">
            <v>130754</v>
          </cell>
          <cell r="AC5">
            <v>6917677</v>
          </cell>
          <cell r="AD5">
            <v>65377</v>
          </cell>
          <cell r="AE5">
            <v>130754</v>
          </cell>
          <cell r="AF5">
            <v>65377</v>
          </cell>
          <cell r="AG5">
            <v>0</v>
          </cell>
          <cell r="AH5">
            <v>0</v>
          </cell>
          <cell r="AI5">
            <v>0</v>
          </cell>
        </row>
        <row r="6">
          <cell r="B6" t="str">
            <v>02-0418-014</v>
          </cell>
          <cell r="C6" t="str">
            <v>Bin Wasito</v>
          </cell>
          <cell r="D6" t="str">
            <v>Tetap</v>
          </cell>
          <cell r="E6" t="str">
            <v>Aktif</v>
          </cell>
          <cell r="G6">
            <v>83</v>
          </cell>
          <cell r="H6" t="str">
            <v>Operation</v>
          </cell>
          <cell r="I6" t="str">
            <v>Cleaning &amp; Security</v>
          </cell>
          <cell r="J6" t="str">
            <v>Cleaning officer</v>
          </cell>
          <cell r="K6" t="str">
            <v>Officer</v>
          </cell>
          <cell r="L6" t="str">
            <v>0131159608</v>
          </cell>
          <cell r="M6">
            <v>17</v>
          </cell>
          <cell r="N6">
            <v>21</v>
          </cell>
          <cell r="O6">
            <v>3099600</v>
          </cell>
          <cell r="P6">
            <v>500000</v>
          </cell>
          <cell r="Q6">
            <v>0</v>
          </cell>
          <cell r="R6">
            <v>3599600</v>
          </cell>
          <cell r="S6">
            <v>11900</v>
          </cell>
          <cell r="T6">
            <v>202300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143984</v>
          </cell>
          <cell r="Z6">
            <v>163422</v>
          </cell>
          <cell r="AA6">
            <v>71992</v>
          </cell>
          <cell r="AC6">
            <v>3801900</v>
          </cell>
          <cell r="AD6">
            <v>35996</v>
          </cell>
          <cell r="AE6">
            <v>71992</v>
          </cell>
          <cell r="AF6">
            <v>35996</v>
          </cell>
          <cell r="AG6">
            <v>0</v>
          </cell>
          <cell r="AH6">
            <v>0</v>
          </cell>
          <cell r="AI6">
            <v>0</v>
          </cell>
        </row>
        <row r="7">
          <cell r="B7" t="str">
            <v>02-0418-015</v>
          </cell>
          <cell r="C7" t="str">
            <v>Muhamad Khoirul Irvan</v>
          </cell>
          <cell r="D7" t="str">
            <v>Tetap</v>
          </cell>
          <cell r="E7" t="str">
            <v>Aktif</v>
          </cell>
          <cell r="G7">
            <v>82</v>
          </cell>
          <cell r="H7" t="str">
            <v>IT</v>
          </cell>
          <cell r="I7" t="str">
            <v>IT</v>
          </cell>
          <cell r="J7" t="str">
            <v>IT Manager</v>
          </cell>
          <cell r="K7" t="str">
            <v>Manager</v>
          </cell>
          <cell r="L7">
            <v>8165098737</v>
          </cell>
          <cell r="M7">
            <v>18</v>
          </cell>
          <cell r="N7">
            <v>21</v>
          </cell>
          <cell r="O7">
            <v>10184112</v>
          </cell>
          <cell r="P7">
            <v>2000000</v>
          </cell>
          <cell r="Q7">
            <v>0</v>
          </cell>
          <cell r="R7">
            <v>12184112</v>
          </cell>
          <cell r="S7">
            <v>47600</v>
          </cell>
          <cell r="T7">
            <v>856800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480000</v>
          </cell>
          <cell r="Z7">
            <v>553159</v>
          </cell>
          <cell r="AA7">
            <v>210948</v>
          </cell>
          <cell r="AC7">
            <v>13040912</v>
          </cell>
          <cell r="AD7">
            <v>120000</v>
          </cell>
          <cell r="AE7">
            <v>243682</v>
          </cell>
          <cell r="AF7">
            <v>105474</v>
          </cell>
          <cell r="AG7">
            <v>0</v>
          </cell>
          <cell r="AH7">
            <v>0</v>
          </cell>
          <cell r="AI7">
            <v>0</v>
          </cell>
        </row>
        <row r="8">
          <cell r="B8" t="str">
            <v>02-0418-024</v>
          </cell>
          <cell r="C8" t="str">
            <v>Erwin Kristanto Tri Nugroho</v>
          </cell>
          <cell r="D8" t="str">
            <v>Tetap</v>
          </cell>
          <cell r="E8" t="str">
            <v>Aktif</v>
          </cell>
          <cell r="G8">
            <v>81</v>
          </cell>
          <cell r="H8" t="str">
            <v>Operation</v>
          </cell>
          <cell r="I8" t="str">
            <v>Operation</v>
          </cell>
          <cell r="J8" t="str">
            <v>Pj Operation Manager</v>
          </cell>
          <cell r="K8" t="str">
            <v>Manager</v>
          </cell>
          <cell r="L8" t="str">
            <v>0131092295</v>
          </cell>
          <cell r="M8">
            <v>18</v>
          </cell>
          <cell r="N8">
            <v>21</v>
          </cell>
          <cell r="O8">
            <v>6157562</v>
          </cell>
          <cell r="P8">
            <v>2000000</v>
          </cell>
          <cell r="Q8">
            <v>0</v>
          </cell>
          <cell r="R8">
            <v>8157562</v>
          </cell>
          <cell r="S8">
            <v>47600</v>
          </cell>
          <cell r="T8">
            <v>856800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326302</v>
          </cell>
          <cell r="Z8">
            <v>370353</v>
          </cell>
          <cell r="AA8">
            <v>163151</v>
          </cell>
          <cell r="AC8">
            <v>9014362</v>
          </cell>
          <cell r="AD8">
            <v>81576</v>
          </cell>
          <cell r="AE8">
            <v>163151</v>
          </cell>
          <cell r="AF8">
            <v>81576</v>
          </cell>
          <cell r="AG8">
            <v>0</v>
          </cell>
          <cell r="AH8">
            <v>0</v>
          </cell>
          <cell r="AI8">
            <v>0</v>
          </cell>
        </row>
        <row r="9">
          <cell r="B9" t="str">
            <v>02-0718-034</v>
          </cell>
          <cell r="C9" t="str">
            <v>Nanda Nizar Abdul Malik</v>
          </cell>
          <cell r="D9" t="str">
            <v>Tetap</v>
          </cell>
          <cell r="E9" t="str">
            <v>Aktif</v>
          </cell>
          <cell r="G9">
            <v>80</v>
          </cell>
          <cell r="H9" t="str">
            <v>Maintenance</v>
          </cell>
          <cell r="I9" t="str">
            <v>Maintenance</v>
          </cell>
          <cell r="J9" t="str">
            <v>ME Team Leader</v>
          </cell>
          <cell r="K9" t="str">
            <v>Crew</v>
          </cell>
          <cell r="L9" t="str">
            <v>0131185064</v>
          </cell>
          <cell r="M9">
            <v>22</v>
          </cell>
          <cell r="N9">
            <v>25</v>
          </cell>
          <cell r="O9">
            <v>2883600</v>
          </cell>
          <cell r="P9">
            <v>0</v>
          </cell>
          <cell r="Q9">
            <v>250000</v>
          </cell>
          <cell r="R9">
            <v>3133600</v>
          </cell>
          <cell r="S9">
            <v>10000</v>
          </cell>
          <cell r="T9">
            <v>220000</v>
          </cell>
          <cell r="U9">
            <v>0</v>
          </cell>
          <cell r="V9">
            <v>0</v>
          </cell>
          <cell r="W9">
            <v>200000</v>
          </cell>
          <cell r="X9">
            <v>0</v>
          </cell>
          <cell r="Y9">
            <v>125344</v>
          </cell>
          <cell r="Z9">
            <v>142265</v>
          </cell>
          <cell r="AA9">
            <v>62672</v>
          </cell>
          <cell r="AC9">
            <v>3553600</v>
          </cell>
          <cell r="AD9">
            <v>31336</v>
          </cell>
          <cell r="AE9">
            <v>62672</v>
          </cell>
          <cell r="AF9">
            <v>31336</v>
          </cell>
          <cell r="AG9">
            <v>0</v>
          </cell>
          <cell r="AH9">
            <v>0</v>
          </cell>
          <cell r="AI9">
            <v>0</v>
          </cell>
        </row>
        <row r="10">
          <cell r="B10" t="str">
            <v>02-0818-047</v>
          </cell>
          <cell r="C10" t="str">
            <v>Rio Ari Suryantoro</v>
          </cell>
          <cell r="D10" t="str">
            <v>Tetap</v>
          </cell>
          <cell r="E10" t="str">
            <v>Aktif</v>
          </cell>
          <cell r="G10">
            <v>79</v>
          </cell>
          <cell r="H10" t="str">
            <v>Maintenance</v>
          </cell>
          <cell r="I10" t="str">
            <v>Maintenance</v>
          </cell>
          <cell r="J10" t="str">
            <v>ME Team Leader</v>
          </cell>
          <cell r="K10" t="str">
            <v>Crew</v>
          </cell>
          <cell r="L10" t="str">
            <v>0131185111</v>
          </cell>
          <cell r="M10">
            <v>21</v>
          </cell>
          <cell r="N10">
            <v>25</v>
          </cell>
          <cell r="O10">
            <v>2779016</v>
          </cell>
          <cell r="P10">
            <v>0</v>
          </cell>
          <cell r="Q10">
            <v>250000</v>
          </cell>
          <cell r="R10">
            <v>3029016</v>
          </cell>
          <cell r="S10">
            <v>10000</v>
          </cell>
          <cell r="T10">
            <v>210000</v>
          </cell>
          <cell r="U10">
            <v>0</v>
          </cell>
          <cell r="V10">
            <v>0</v>
          </cell>
          <cell r="W10">
            <v>200000</v>
          </cell>
          <cell r="X10">
            <v>0</v>
          </cell>
          <cell r="Y10">
            <v>121161</v>
          </cell>
          <cell r="Z10">
            <v>137517</v>
          </cell>
          <cell r="AA10">
            <v>60580</v>
          </cell>
          <cell r="AC10">
            <v>3439016</v>
          </cell>
          <cell r="AD10">
            <v>30290</v>
          </cell>
          <cell r="AE10">
            <v>60580</v>
          </cell>
          <cell r="AF10">
            <v>30290</v>
          </cell>
          <cell r="AG10">
            <v>0</v>
          </cell>
          <cell r="AH10">
            <v>0</v>
          </cell>
          <cell r="AI10">
            <v>0</v>
          </cell>
        </row>
        <row r="11">
          <cell r="B11" t="str">
            <v>02-0818-050</v>
          </cell>
          <cell r="C11" t="str">
            <v>Hermawan Tri Pamungkas</v>
          </cell>
          <cell r="D11" t="str">
            <v>Tetap</v>
          </cell>
          <cell r="E11" t="str">
            <v>Aktif</v>
          </cell>
          <cell r="G11">
            <v>76</v>
          </cell>
          <cell r="H11" t="str">
            <v>Operation</v>
          </cell>
          <cell r="I11" t="str">
            <v>Cleaning &amp; Security</v>
          </cell>
          <cell r="J11" t="str">
            <v>Cleaning &amp; Security SPV</v>
          </cell>
          <cell r="K11" t="str">
            <v>SPV</v>
          </cell>
          <cell r="L11" t="str">
            <v>3200604279</v>
          </cell>
          <cell r="M11">
            <v>19</v>
          </cell>
          <cell r="N11">
            <v>21</v>
          </cell>
          <cell r="O11">
            <v>5550436</v>
          </cell>
          <cell r="P11">
            <v>1000000</v>
          </cell>
          <cell r="Q11">
            <v>0</v>
          </cell>
          <cell r="R11">
            <v>6550436</v>
          </cell>
          <cell r="S11">
            <v>19000</v>
          </cell>
          <cell r="T11">
            <v>361000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262017</v>
          </cell>
          <cell r="Z11">
            <v>297390</v>
          </cell>
          <cell r="AA11">
            <v>131009</v>
          </cell>
          <cell r="AC11">
            <v>6911436</v>
          </cell>
          <cell r="AD11">
            <v>65504</v>
          </cell>
          <cell r="AE11">
            <v>131009</v>
          </cell>
          <cell r="AF11">
            <v>65504</v>
          </cell>
          <cell r="AG11">
            <v>0</v>
          </cell>
          <cell r="AH11">
            <v>0</v>
          </cell>
          <cell r="AI11">
            <v>0</v>
          </cell>
        </row>
        <row r="12">
          <cell r="B12" t="str">
            <v>02-0818-053</v>
          </cell>
          <cell r="C12" t="str">
            <v>Tafdhil Munir</v>
          </cell>
          <cell r="D12" t="str">
            <v>Tetap</v>
          </cell>
          <cell r="E12" t="str">
            <v>Aktif</v>
          </cell>
          <cell r="G12">
            <v>79</v>
          </cell>
          <cell r="H12" t="str">
            <v>Maintenance</v>
          </cell>
          <cell r="I12" t="str">
            <v>Maintenance</v>
          </cell>
          <cell r="J12" t="str">
            <v>ME Team Leader</v>
          </cell>
          <cell r="K12" t="str">
            <v>Crew</v>
          </cell>
          <cell r="L12" t="str">
            <v>0131199537</v>
          </cell>
          <cell r="M12">
            <v>20</v>
          </cell>
          <cell r="N12">
            <v>25</v>
          </cell>
          <cell r="O12">
            <v>2779016</v>
          </cell>
          <cell r="P12">
            <v>0</v>
          </cell>
          <cell r="Q12">
            <v>250000</v>
          </cell>
          <cell r="R12">
            <v>3029016</v>
          </cell>
          <cell r="S12">
            <v>10000</v>
          </cell>
          <cell r="T12">
            <v>200000</v>
          </cell>
          <cell r="U12">
            <v>0</v>
          </cell>
          <cell r="V12">
            <v>0</v>
          </cell>
          <cell r="W12">
            <v>200000</v>
          </cell>
          <cell r="X12">
            <v>0</v>
          </cell>
          <cell r="Y12">
            <v>121161</v>
          </cell>
          <cell r="Z12">
            <v>137517</v>
          </cell>
          <cell r="AA12">
            <v>60580</v>
          </cell>
          <cell r="AC12">
            <v>3429016</v>
          </cell>
          <cell r="AD12">
            <v>30290</v>
          </cell>
          <cell r="AE12">
            <v>60580</v>
          </cell>
          <cell r="AF12">
            <v>30290</v>
          </cell>
          <cell r="AG12">
            <v>0</v>
          </cell>
          <cell r="AH12">
            <v>0</v>
          </cell>
          <cell r="AI12">
            <v>0</v>
          </cell>
        </row>
        <row r="13">
          <cell r="B13" t="str">
            <v>02-0918-061</v>
          </cell>
          <cell r="C13" t="str">
            <v>Son Loka Presti</v>
          </cell>
          <cell r="D13" t="str">
            <v>Tetap</v>
          </cell>
          <cell r="E13" t="str">
            <v>Aktif</v>
          </cell>
          <cell r="G13">
            <v>78</v>
          </cell>
          <cell r="H13" t="str">
            <v>Finance &amp; Accounting</v>
          </cell>
          <cell r="I13" t="str">
            <v>Finance &amp; Accounting</v>
          </cell>
          <cell r="J13" t="str">
            <v>Finance &amp; Accounting Manager</v>
          </cell>
          <cell r="K13" t="str">
            <v>Manager</v>
          </cell>
          <cell r="L13">
            <v>4040315263</v>
          </cell>
          <cell r="M13">
            <v>16</v>
          </cell>
          <cell r="N13">
            <v>21</v>
          </cell>
          <cell r="O13">
            <v>9629436</v>
          </cell>
          <cell r="P13">
            <v>2000000</v>
          </cell>
          <cell r="Q13">
            <v>0</v>
          </cell>
          <cell r="R13">
            <v>11629436</v>
          </cell>
          <cell r="S13">
            <v>47600</v>
          </cell>
          <cell r="T13">
            <v>761600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465177</v>
          </cell>
          <cell r="Z13">
            <v>527976</v>
          </cell>
          <cell r="AA13">
            <v>210948</v>
          </cell>
          <cell r="AC13">
            <v>12391036</v>
          </cell>
          <cell r="AD13">
            <v>116294</v>
          </cell>
          <cell r="AE13">
            <v>232589</v>
          </cell>
          <cell r="AF13">
            <v>105474</v>
          </cell>
          <cell r="AG13">
            <v>0</v>
          </cell>
          <cell r="AH13">
            <v>0</v>
          </cell>
          <cell r="AI13">
            <v>116294</v>
          </cell>
        </row>
        <row r="14">
          <cell r="B14" t="str">
            <v>02-1018-068</v>
          </cell>
          <cell r="C14" t="str">
            <v>Widiya Astuti</v>
          </cell>
          <cell r="D14" t="str">
            <v>Tetap</v>
          </cell>
          <cell r="E14" t="str">
            <v>Aktif</v>
          </cell>
          <cell r="G14">
            <v>77</v>
          </cell>
          <cell r="H14" t="str">
            <v>Procurement &amp; GA</v>
          </cell>
          <cell r="I14" t="str">
            <v>Procurement</v>
          </cell>
          <cell r="J14" t="str">
            <v>Procurement Officer</v>
          </cell>
          <cell r="K14" t="str">
            <v>Officer</v>
          </cell>
          <cell r="L14" t="str">
            <v>0131206126</v>
          </cell>
          <cell r="M14">
            <v>17</v>
          </cell>
          <cell r="N14">
            <v>21</v>
          </cell>
          <cell r="O14">
            <v>2991600</v>
          </cell>
          <cell r="P14">
            <v>500000</v>
          </cell>
          <cell r="Q14">
            <v>0</v>
          </cell>
          <cell r="R14">
            <v>3491600</v>
          </cell>
          <cell r="S14">
            <v>11900</v>
          </cell>
          <cell r="T14">
            <v>202300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139664</v>
          </cell>
          <cell r="Z14">
            <v>158519</v>
          </cell>
          <cell r="AA14">
            <v>69832</v>
          </cell>
          <cell r="AC14">
            <v>3693900</v>
          </cell>
          <cell r="AD14">
            <v>34916</v>
          </cell>
          <cell r="AE14">
            <v>69832</v>
          </cell>
          <cell r="AF14">
            <v>34916</v>
          </cell>
          <cell r="AG14">
            <v>0</v>
          </cell>
          <cell r="AH14">
            <v>0</v>
          </cell>
          <cell r="AI14">
            <v>0</v>
          </cell>
        </row>
        <row r="15">
          <cell r="B15" t="str">
            <v>02-1118-084</v>
          </cell>
          <cell r="C15" t="str">
            <v>Ariyono</v>
          </cell>
          <cell r="D15" t="str">
            <v>Tetap</v>
          </cell>
          <cell r="E15" t="str">
            <v>Aktif</v>
          </cell>
          <cell r="G15">
            <v>76</v>
          </cell>
          <cell r="H15" t="str">
            <v>Operation</v>
          </cell>
          <cell r="I15" t="str">
            <v>Operation</v>
          </cell>
          <cell r="J15" t="str">
            <v>Operation SPV</v>
          </cell>
          <cell r="K15" t="str">
            <v>SPV</v>
          </cell>
          <cell r="L15" t="str">
            <v>0131213556</v>
          </cell>
          <cell r="M15">
            <v>19</v>
          </cell>
          <cell r="N15">
            <v>21</v>
          </cell>
          <cell r="O15">
            <v>3402000</v>
          </cell>
          <cell r="P15">
            <v>1000000</v>
          </cell>
          <cell r="Q15">
            <v>0</v>
          </cell>
          <cell r="R15">
            <v>4402000</v>
          </cell>
          <cell r="S15">
            <v>19000</v>
          </cell>
          <cell r="T15">
            <v>361000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176080</v>
          </cell>
          <cell r="Z15">
            <v>199851</v>
          </cell>
          <cell r="AA15">
            <v>88040</v>
          </cell>
          <cell r="AC15">
            <v>4763000</v>
          </cell>
          <cell r="AD15">
            <v>44020</v>
          </cell>
          <cell r="AE15">
            <v>88040</v>
          </cell>
          <cell r="AF15">
            <v>44020</v>
          </cell>
          <cell r="AG15">
            <v>0</v>
          </cell>
          <cell r="AH15">
            <v>0</v>
          </cell>
          <cell r="AI15">
            <v>0</v>
          </cell>
        </row>
        <row r="16">
          <cell r="B16" t="str">
            <v>02-1118-102</v>
          </cell>
          <cell r="C16" t="str">
            <v>Dedi Suprayitno</v>
          </cell>
          <cell r="D16" t="str">
            <v>Tetap</v>
          </cell>
          <cell r="E16" t="str">
            <v>Aktif</v>
          </cell>
          <cell r="G16">
            <v>76</v>
          </cell>
          <cell r="H16" t="str">
            <v>Operation</v>
          </cell>
          <cell r="I16" t="str">
            <v>Operation</v>
          </cell>
          <cell r="J16" t="str">
            <v>Operation Team Leader</v>
          </cell>
          <cell r="K16" t="str">
            <v>Crew</v>
          </cell>
          <cell r="L16" t="str">
            <v>0131218612</v>
          </cell>
          <cell r="M16">
            <v>21</v>
          </cell>
          <cell r="N16">
            <v>25</v>
          </cell>
          <cell r="O16">
            <v>2987182</v>
          </cell>
          <cell r="P16">
            <v>0</v>
          </cell>
          <cell r="Q16">
            <v>0</v>
          </cell>
          <cell r="R16">
            <v>2987182</v>
          </cell>
          <cell r="S16">
            <v>10000</v>
          </cell>
          <cell r="T16">
            <v>210000</v>
          </cell>
          <cell r="U16">
            <v>0</v>
          </cell>
          <cell r="V16">
            <v>0</v>
          </cell>
          <cell r="W16">
            <v>200000</v>
          </cell>
          <cell r="X16">
            <v>0</v>
          </cell>
          <cell r="Y16">
            <v>119487</v>
          </cell>
          <cell r="Z16">
            <v>135618</v>
          </cell>
          <cell r="AA16">
            <v>59744</v>
          </cell>
          <cell r="AC16">
            <v>3397182</v>
          </cell>
          <cell r="AD16">
            <v>29872</v>
          </cell>
          <cell r="AE16">
            <v>59744</v>
          </cell>
          <cell r="AF16">
            <v>29872</v>
          </cell>
          <cell r="AG16">
            <v>0</v>
          </cell>
          <cell r="AH16">
            <v>0</v>
          </cell>
          <cell r="AI16">
            <v>0</v>
          </cell>
        </row>
        <row r="17">
          <cell r="B17" t="str">
            <v>02-1118-123</v>
          </cell>
          <cell r="C17" t="str">
            <v>Muhamad Najichin Ihwan</v>
          </cell>
          <cell r="D17" t="str">
            <v>Tetap</v>
          </cell>
          <cell r="E17" t="str">
            <v>Aktif</v>
          </cell>
          <cell r="G17">
            <v>76</v>
          </cell>
          <cell r="H17" t="str">
            <v>Operation</v>
          </cell>
          <cell r="I17" t="str">
            <v>Operation</v>
          </cell>
          <cell r="J17" t="str">
            <v>Operation Team Leader</v>
          </cell>
          <cell r="K17" t="str">
            <v>Crew</v>
          </cell>
          <cell r="L17" t="str">
            <v>7960545731</v>
          </cell>
          <cell r="M17">
            <v>22</v>
          </cell>
          <cell r="N17">
            <v>25</v>
          </cell>
          <cell r="O17">
            <v>2987182</v>
          </cell>
          <cell r="P17">
            <v>0</v>
          </cell>
          <cell r="Q17">
            <v>0</v>
          </cell>
          <cell r="R17">
            <v>2987182</v>
          </cell>
          <cell r="S17">
            <v>10000</v>
          </cell>
          <cell r="T17">
            <v>220000</v>
          </cell>
          <cell r="U17">
            <v>0</v>
          </cell>
          <cell r="V17">
            <v>0</v>
          </cell>
          <cell r="W17">
            <v>200000</v>
          </cell>
          <cell r="X17">
            <v>0</v>
          </cell>
          <cell r="Y17">
            <v>119487</v>
          </cell>
          <cell r="Z17">
            <v>135618</v>
          </cell>
          <cell r="AA17">
            <v>59744</v>
          </cell>
          <cell r="AC17">
            <v>3407182</v>
          </cell>
          <cell r="AD17">
            <v>29872</v>
          </cell>
          <cell r="AE17">
            <v>59744</v>
          </cell>
          <cell r="AF17">
            <v>29872</v>
          </cell>
          <cell r="AG17">
            <v>0</v>
          </cell>
          <cell r="AH17">
            <v>0</v>
          </cell>
          <cell r="AI17">
            <v>0</v>
          </cell>
        </row>
        <row r="18">
          <cell r="B18" t="str">
            <v>02-1118-147</v>
          </cell>
          <cell r="C18" t="str">
            <v>Chicik Kusworo</v>
          </cell>
          <cell r="D18" t="str">
            <v>Tetap</v>
          </cell>
          <cell r="E18" t="str">
            <v>Aktif</v>
          </cell>
          <cell r="G18">
            <v>76</v>
          </cell>
          <cell r="H18" t="str">
            <v>Inpark Revenue</v>
          </cell>
          <cell r="I18" t="str">
            <v>Inpark Revenue Operational</v>
          </cell>
          <cell r="J18" t="str">
            <v>Inpark Revenue Operational Officer</v>
          </cell>
          <cell r="K18" t="str">
            <v>Officer</v>
          </cell>
          <cell r="L18" t="str">
            <v>0131218931</v>
          </cell>
          <cell r="M18">
            <v>18</v>
          </cell>
          <cell r="N18">
            <v>21</v>
          </cell>
          <cell r="O18">
            <v>3099600</v>
          </cell>
          <cell r="P18">
            <v>500000</v>
          </cell>
          <cell r="Q18">
            <v>0</v>
          </cell>
          <cell r="R18">
            <v>3599600</v>
          </cell>
          <cell r="S18">
            <v>11900</v>
          </cell>
          <cell r="T18">
            <v>214200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143984</v>
          </cell>
          <cell r="Z18">
            <v>163422</v>
          </cell>
          <cell r="AA18">
            <v>71992</v>
          </cell>
          <cell r="AC18">
            <v>3813800</v>
          </cell>
          <cell r="AD18">
            <v>35996</v>
          </cell>
          <cell r="AE18">
            <v>71992</v>
          </cell>
          <cell r="AF18">
            <v>35996</v>
          </cell>
          <cell r="AG18">
            <v>0</v>
          </cell>
          <cell r="AH18">
            <v>0</v>
          </cell>
          <cell r="AI18">
            <v>0</v>
          </cell>
        </row>
        <row r="19">
          <cell r="B19" t="str">
            <v>02-1118-159</v>
          </cell>
          <cell r="C19" t="str">
            <v>Fanni Kuswandani</v>
          </cell>
          <cell r="D19" t="str">
            <v>Tetap</v>
          </cell>
          <cell r="E19" t="str">
            <v>Aktif</v>
          </cell>
          <cell r="G19">
            <v>76</v>
          </cell>
          <cell r="H19" t="str">
            <v>Inpark Revenue</v>
          </cell>
          <cell r="I19" t="str">
            <v>FB Product</v>
          </cell>
          <cell r="J19" t="str">
            <v>Cook Team Leader</v>
          </cell>
          <cell r="K19" t="str">
            <v>Crew</v>
          </cell>
          <cell r="L19" t="str">
            <v>0131218884</v>
          </cell>
          <cell r="M19">
            <v>20</v>
          </cell>
          <cell r="N19">
            <v>25</v>
          </cell>
          <cell r="O19">
            <v>2935141</v>
          </cell>
          <cell r="P19">
            <v>0</v>
          </cell>
          <cell r="Q19">
            <v>0</v>
          </cell>
          <cell r="R19">
            <v>2935141</v>
          </cell>
          <cell r="S19">
            <v>10000</v>
          </cell>
          <cell r="T19">
            <v>200000</v>
          </cell>
          <cell r="U19">
            <v>0</v>
          </cell>
          <cell r="V19">
            <v>25449</v>
          </cell>
          <cell r="W19">
            <v>200000</v>
          </cell>
          <cell r="X19">
            <v>0</v>
          </cell>
          <cell r="Y19">
            <v>117406</v>
          </cell>
          <cell r="Z19">
            <v>133255</v>
          </cell>
          <cell r="AA19">
            <v>58703</v>
          </cell>
          <cell r="AC19">
            <v>3360590</v>
          </cell>
          <cell r="AD19">
            <v>29351</v>
          </cell>
          <cell r="AE19">
            <v>58703</v>
          </cell>
          <cell r="AF19">
            <v>29351</v>
          </cell>
          <cell r="AG19">
            <v>0</v>
          </cell>
          <cell r="AH19">
            <v>0</v>
          </cell>
          <cell r="AI19">
            <v>0</v>
          </cell>
        </row>
        <row r="20">
          <cell r="B20" t="str">
            <v>02-1118-161</v>
          </cell>
          <cell r="C20" t="str">
            <v>Zaenal Arifin</v>
          </cell>
          <cell r="D20" t="str">
            <v>Tetap</v>
          </cell>
          <cell r="E20" t="str">
            <v>Aktif</v>
          </cell>
          <cell r="G20">
            <v>76</v>
          </cell>
          <cell r="H20" t="str">
            <v>Inpark Revenue</v>
          </cell>
          <cell r="I20" t="str">
            <v>Inpark Revenue Operational</v>
          </cell>
          <cell r="J20" t="str">
            <v>Inpark Revenue Operational Officer</v>
          </cell>
          <cell r="K20" t="str">
            <v>Officer</v>
          </cell>
          <cell r="L20" t="str">
            <v>0131218752</v>
          </cell>
          <cell r="M20">
            <v>18</v>
          </cell>
          <cell r="N20">
            <v>21</v>
          </cell>
          <cell r="O20">
            <v>3099600</v>
          </cell>
          <cell r="P20">
            <v>500000</v>
          </cell>
          <cell r="Q20">
            <v>0</v>
          </cell>
          <cell r="R20">
            <v>3599600</v>
          </cell>
          <cell r="S20">
            <v>11900</v>
          </cell>
          <cell r="T20">
            <v>214200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143984</v>
          </cell>
          <cell r="Z20">
            <v>163422</v>
          </cell>
          <cell r="AA20">
            <v>71992</v>
          </cell>
          <cell r="AC20">
            <v>3813800</v>
          </cell>
          <cell r="AD20">
            <v>35996</v>
          </cell>
          <cell r="AE20">
            <v>71992</v>
          </cell>
          <cell r="AF20">
            <v>35996</v>
          </cell>
          <cell r="AG20">
            <v>0</v>
          </cell>
          <cell r="AH20">
            <v>0</v>
          </cell>
          <cell r="AI20">
            <v>0</v>
          </cell>
        </row>
        <row r="21">
          <cell r="B21" t="str">
            <v>02-1118-173</v>
          </cell>
          <cell r="C21" t="str">
            <v>Robby Cahyadi</v>
          </cell>
          <cell r="D21" t="str">
            <v>Tetap</v>
          </cell>
          <cell r="E21" t="str">
            <v>Aktif</v>
          </cell>
          <cell r="G21">
            <v>76</v>
          </cell>
          <cell r="H21" t="str">
            <v>Inpark Revenue</v>
          </cell>
          <cell r="I21" t="str">
            <v>FB Product</v>
          </cell>
          <cell r="J21" t="str">
            <v>Demi Chef Officer</v>
          </cell>
          <cell r="K21" t="str">
            <v>Officer</v>
          </cell>
          <cell r="L21" t="str">
            <v>0131221621</v>
          </cell>
          <cell r="M21">
            <v>18</v>
          </cell>
          <cell r="N21">
            <v>21</v>
          </cell>
          <cell r="O21">
            <v>3862500</v>
          </cell>
          <cell r="P21">
            <v>500000</v>
          </cell>
          <cell r="Q21">
            <v>0</v>
          </cell>
          <cell r="R21">
            <v>4362500</v>
          </cell>
          <cell r="S21">
            <v>11900</v>
          </cell>
          <cell r="T21">
            <v>214200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174500</v>
          </cell>
          <cell r="Z21">
            <v>198058</v>
          </cell>
          <cell r="AA21">
            <v>87250</v>
          </cell>
          <cell r="AC21">
            <v>4576700</v>
          </cell>
          <cell r="AD21">
            <v>43625</v>
          </cell>
          <cell r="AE21">
            <v>87250</v>
          </cell>
          <cell r="AF21">
            <v>43625</v>
          </cell>
          <cell r="AG21">
            <v>0</v>
          </cell>
          <cell r="AH21">
            <v>0</v>
          </cell>
          <cell r="AI21">
            <v>0</v>
          </cell>
        </row>
        <row r="22">
          <cell r="B22" t="str">
            <v>02-1118-174</v>
          </cell>
          <cell r="C22" t="str">
            <v>Akhdan Subkhani</v>
          </cell>
          <cell r="D22" t="str">
            <v>Tetap</v>
          </cell>
          <cell r="E22" t="str">
            <v>Aktif</v>
          </cell>
          <cell r="G22">
            <v>76</v>
          </cell>
          <cell r="H22" t="str">
            <v>Operation</v>
          </cell>
          <cell r="I22" t="str">
            <v>Operation</v>
          </cell>
          <cell r="J22" t="str">
            <v>Angon Ingon Officer</v>
          </cell>
          <cell r="K22" t="str">
            <v>Officer</v>
          </cell>
          <cell r="L22" t="str">
            <v>0131220676</v>
          </cell>
          <cell r="M22">
            <v>17</v>
          </cell>
          <cell r="N22">
            <v>21</v>
          </cell>
          <cell r="O22">
            <v>3694947</v>
          </cell>
          <cell r="P22">
            <v>500000</v>
          </cell>
          <cell r="Q22">
            <v>200000</v>
          </cell>
          <cell r="R22">
            <v>4394947</v>
          </cell>
          <cell r="S22">
            <v>11900</v>
          </cell>
          <cell r="T22">
            <v>202300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175798</v>
          </cell>
          <cell r="Z22">
            <v>199531</v>
          </cell>
          <cell r="AA22">
            <v>87899</v>
          </cell>
          <cell r="AC22">
            <v>4597247</v>
          </cell>
          <cell r="AD22">
            <v>43949</v>
          </cell>
          <cell r="AE22">
            <v>87899</v>
          </cell>
          <cell r="AF22">
            <v>43949</v>
          </cell>
          <cell r="AG22">
            <v>0</v>
          </cell>
          <cell r="AH22">
            <v>0</v>
          </cell>
          <cell r="AI22">
            <v>0</v>
          </cell>
        </row>
        <row r="23">
          <cell r="B23" t="str">
            <v>02-1118-175</v>
          </cell>
          <cell r="C23" t="str">
            <v>Rizky Agung Hendrawan</v>
          </cell>
          <cell r="D23" t="str">
            <v>Tetap</v>
          </cell>
          <cell r="E23" t="str">
            <v>Aktif</v>
          </cell>
          <cell r="G23">
            <v>76</v>
          </cell>
          <cell r="H23" t="str">
            <v>Procurement &amp; GA</v>
          </cell>
          <cell r="I23" t="str">
            <v>GA</v>
          </cell>
          <cell r="J23" t="str">
            <v>GA SPV</v>
          </cell>
          <cell r="K23" t="str">
            <v>SPV</v>
          </cell>
          <cell r="L23" t="str">
            <v>0131221087</v>
          </cell>
          <cell r="M23">
            <v>18</v>
          </cell>
          <cell r="N23">
            <v>21</v>
          </cell>
          <cell r="O23">
            <v>4944044</v>
          </cell>
          <cell r="P23">
            <v>1000000</v>
          </cell>
          <cell r="Q23">
            <v>500000</v>
          </cell>
          <cell r="R23">
            <v>6444044</v>
          </cell>
          <cell r="S23">
            <v>19000</v>
          </cell>
          <cell r="T23">
            <v>342000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257762</v>
          </cell>
          <cell r="Z23">
            <v>292560</v>
          </cell>
          <cell r="AA23">
            <v>128881</v>
          </cell>
          <cell r="AC23">
            <v>6786044</v>
          </cell>
          <cell r="AD23">
            <v>64440</v>
          </cell>
          <cell r="AE23">
            <v>128881</v>
          </cell>
          <cell r="AF23">
            <v>64440</v>
          </cell>
          <cell r="AG23">
            <v>0</v>
          </cell>
          <cell r="AH23">
            <v>0</v>
          </cell>
          <cell r="AI23">
            <v>0</v>
          </cell>
        </row>
        <row r="24">
          <cell r="B24" t="str">
            <v>02-1218-182</v>
          </cell>
          <cell r="C24" t="str">
            <v>Andreas Widyasmara</v>
          </cell>
          <cell r="D24" t="str">
            <v>Tetap</v>
          </cell>
          <cell r="E24" t="str">
            <v>Aktif</v>
          </cell>
          <cell r="G24">
            <v>75</v>
          </cell>
          <cell r="H24" t="str">
            <v>Sales</v>
          </cell>
          <cell r="I24" t="str">
            <v>Sales</v>
          </cell>
          <cell r="J24" t="str">
            <v>Sales Manager</v>
          </cell>
          <cell r="K24" t="str">
            <v>Manager</v>
          </cell>
          <cell r="L24" t="str">
            <v>0131218264</v>
          </cell>
          <cell r="M24">
            <v>19</v>
          </cell>
          <cell r="N24">
            <v>21</v>
          </cell>
          <cell r="O24">
            <v>13174470</v>
          </cell>
          <cell r="P24">
            <v>2000000</v>
          </cell>
          <cell r="Q24">
            <v>0</v>
          </cell>
          <cell r="R24">
            <v>15174470</v>
          </cell>
          <cell r="S24">
            <v>47600</v>
          </cell>
          <cell r="T24">
            <v>904400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480000</v>
          </cell>
          <cell r="Z24">
            <v>688921</v>
          </cell>
          <cell r="AA24">
            <v>210948</v>
          </cell>
          <cell r="AC24">
            <v>16078870</v>
          </cell>
          <cell r="AD24">
            <v>120000</v>
          </cell>
          <cell r="AE24">
            <v>303489</v>
          </cell>
          <cell r="AF24">
            <v>105474</v>
          </cell>
          <cell r="AG24">
            <v>0</v>
          </cell>
          <cell r="AH24">
            <v>0</v>
          </cell>
          <cell r="AI24">
            <v>0</v>
          </cell>
        </row>
        <row r="25">
          <cell r="B25" t="str">
            <v>02-1218-213</v>
          </cell>
          <cell r="C25" t="str">
            <v>Wahyu Imam prasetyo</v>
          </cell>
          <cell r="D25" t="str">
            <v>Tetap</v>
          </cell>
          <cell r="E25" t="str">
            <v>Aktif</v>
          </cell>
          <cell r="G25">
            <v>75</v>
          </cell>
          <cell r="H25" t="str">
            <v>Inpark Revenue</v>
          </cell>
          <cell r="I25" t="str">
            <v>FB Product</v>
          </cell>
          <cell r="J25" t="str">
            <v>Cook Team Leader</v>
          </cell>
          <cell r="K25" t="str">
            <v>Crew</v>
          </cell>
          <cell r="L25" t="str">
            <v>0131218477</v>
          </cell>
          <cell r="M25">
            <v>19</v>
          </cell>
          <cell r="N25">
            <v>25</v>
          </cell>
          <cell r="O25">
            <v>2935141</v>
          </cell>
          <cell r="P25">
            <v>0</v>
          </cell>
          <cell r="Q25">
            <v>0</v>
          </cell>
          <cell r="R25">
            <v>2935141</v>
          </cell>
          <cell r="S25">
            <v>10000</v>
          </cell>
          <cell r="T25">
            <v>190000</v>
          </cell>
          <cell r="U25">
            <v>0</v>
          </cell>
          <cell r="V25">
            <v>0</v>
          </cell>
          <cell r="W25">
            <v>200000</v>
          </cell>
          <cell r="X25">
            <v>0</v>
          </cell>
          <cell r="Y25">
            <v>117406</v>
          </cell>
          <cell r="Z25">
            <v>133255</v>
          </cell>
          <cell r="AA25">
            <v>58703</v>
          </cell>
          <cell r="AC25">
            <v>3325141</v>
          </cell>
          <cell r="AD25">
            <v>29351</v>
          </cell>
          <cell r="AE25">
            <v>58703</v>
          </cell>
          <cell r="AF25">
            <v>29351</v>
          </cell>
          <cell r="AG25">
            <v>0</v>
          </cell>
          <cell r="AH25">
            <v>0</v>
          </cell>
          <cell r="AI25">
            <v>0</v>
          </cell>
        </row>
        <row r="26">
          <cell r="B26" t="str">
            <v>02-1218-214</v>
          </cell>
          <cell r="C26" t="str">
            <v>Risa Emawati</v>
          </cell>
          <cell r="D26" t="str">
            <v>Tetap</v>
          </cell>
          <cell r="E26" t="str">
            <v>Aktif</v>
          </cell>
          <cell r="G26">
            <v>75</v>
          </cell>
          <cell r="H26" t="str">
            <v>Marketing &amp; Partenership</v>
          </cell>
          <cell r="I26" t="str">
            <v>Corporate Communication</v>
          </cell>
          <cell r="J26" t="str">
            <v xml:space="preserve">Marketing Support </v>
          </cell>
          <cell r="K26" t="str">
            <v>Crew</v>
          </cell>
          <cell r="L26" t="str">
            <v>0131220790</v>
          </cell>
          <cell r="M26">
            <v>16</v>
          </cell>
          <cell r="N26">
            <v>21</v>
          </cell>
          <cell r="O26">
            <v>3653864</v>
          </cell>
          <cell r="P26">
            <v>0</v>
          </cell>
          <cell r="Q26">
            <v>0</v>
          </cell>
          <cell r="R26">
            <v>3653864</v>
          </cell>
          <cell r="S26">
            <v>10000</v>
          </cell>
          <cell r="T26">
            <v>160000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146155</v>
          </cell>
          <cell r="Z26">
            <v>165885</v>
          </cell>
          <cell r="AA26">
            <v>73077</v>
          </cell>
          <cell r="AC26">
            <v>3813864</v>
          </cell>
          <cell r="AD26">
            <v>36539</v>
          </cell>
          <cell r="AE26">
            <v>73077</v>
          </cell>
          <cell r="AF26">
            <v>36539</v>
          </cell>
          <cell r="AG26">
            <v>0</v>
          </cell>
          <cell r="AH26">
            <v>0</v>
          </cell>
          <cell r="AI26">
            <v>0</v>
          </cell>
        </row>
        <row r="27">
          <cell r="B27" t="str">
            <v>02-1218-216</v>
          </cell>
          <cell r="C27" t="str">
            <v>Nur Kholis Alrosyid</v>
          </cell>
          <cell r="D27" t="str">
            <v>Tetap</v>
          </cell>
          <cell r="E27" t="str">
            <v>Aktif</v>
          </cell>
          <cell r="G27">
            <v>75</v>
          </cell>
          <cell r="H27" t="str">
            <v>Procurement &amp; GA</v>
          </cell>
          <cell r="I27" t="str">
            <v>GA</v>
          </cell>
          <cell r="J27" t="str">
            <v>GA Crew</v>
          </cell>
          <cell r="K27" t="str">
            <v>Crew</v>
          </cell>
          <cell r="L27" t="str">
            <v>0131221494</v>
          </cell>
          <cell r="M27">
            <v>18</v>
          </cell>
          <cell r="N27">
            <v>21</v>
          </cell>
          <cell r="O27">
            <v>2750136</v>
          </cell>
          <cell r="P27">
            <v>0</v>
          </cell>
          <cell r="Q27">
            <v>0</v>
          </cell>
          <cell r="R27">
            <v>2750136</v>
          </cell>
          <cell r="S27">
            <v>10000</v>
          </cell>
          <cell r="T27">
            <v>180000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110005</v>
          </cell>
          <cell r="Z27">
            <v>124856</v>
          </cell>
          <cell r="AA27">
            <v>55003</v>
          </cell>
          <cell r="AC27">
            <v>2930136</v>
          </cell>
          <cell r="AD27">
            <v>27501</v>
          </cell>
          <cell r="AE27">
            <v>55003</v>
          </cell>
          <cell r="AF27">
            <v>27501</v>
          </cell>
          <cell r="AG27">
            <v>0</v>
          </cell>
          <cell r="AH27">
            <v>0</v>
          </cell>
          <cell r="AI27">
            <v>27501</v>
          </cell>
        </row>
        <row r="28">
          <cell r="B28" t="str">
            <v>02-1218-225</v>
          </cell>
          <cell r="C28" t="str">
            <v>Shinta Oktaviyanti</v>
          </cell>
          <cell r="D28" t="str">
            <v>Tetap</v>
          </cell>
          <cell r="E28" t="str">
            <v>Aktif</v>
          </cell>
          <cell r="G28">
            <v>75</v>
          </cell>
          <cell r="H28" t="str">
            <v>Inpark Revenue</v>
          </cell>
          <cell r="I28" t="str">
            <v>Inpark Revenue Operational</v>
          </cell>
          <cell r="J28" t="str">
            <v>Inpark Revenue Operation Spv</v>
          </cell>
          <cell r="K28" t="str">
            <v>SPV</v>
          </cell>
          <cell r="L28" t="str">
            <v>0131141768</v>
          </cell>
          <cell r="M28">
            <v>19</v>
          </cell>
          <cell r="N28">
            <v>21</v>
          </cell>
          <cell r="O28">
            <v>3960000</v>
          </cell>
          <cell r="P28">
            <v>1000000</v>
          </cell>
          <cell r="Q28">
            <v>0</v>
          </cell>
          <cell r="R28">
            <v>4960000</v>
          </cell>
          <cell r="S28">
            <v>19000</v>
          </cell>
          <cell r="T28">
            <v>361000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198400</v>
          </cell>
          <cell r="Z28">
            <v>225184</v>
          </cell>
          <cell r="AA28">
            <v>99200</v>
          </cell>
          <cell r="AC28">
            <v>5321000</v>
          </cell>
          <cell r="AD28">
            <v>49600</v>
          </cell>
          <cell r="AE28">
            <v>99200</v>
          </cell>
          <cell r="AF28">
            <v>49600</v>
          </cell>
          <cell r="AG28">
            <v>0</v>
          </cell>
          <cell r="AH28">
            <v>0</v>
          </cell>
          <cell r="AI28">
            <v>0</v>
          </cell>
        </row>
        <row r="29">
          <cell r="B29" t="str">
            <v>02-1218-240</v>
          </cell>
          <cell r="C29" t="str">
            <v>Siti Fatmaul Khoiriah</v>
          </cell>
          <cell r="D29" t="str">
            <v>Tetap</v>
          </cell>
          <cell r="E29" t="str">
            <v>Aktif</v>
          </cell>
          <cell r="G29">
            <v>75</v>
          </cell>
          <cell r="H29" t="str">
            <v>Inpark Revenue</v>
          </cell>
          <cell r="I29" t="str">
            <v>FB Product</v>
          </cell>
          <cell r="J29" t="str">
            <v>Cook Team Leader</v>
          </cell>
          <cell r="K29" t="str">
            <v>Crew</v>
          </cell>
          <cell r="L29" t="str">
            <v>0131227387</v>
          </cell>
          <cell r="M29">
            <v>19</v>
          </cell>
          <cell r="N29">
            <v>25</v>
          </cell>
          <cell r="O29">
            <v>2949754</v>
          </cell>
          <cell r="P29">
            <v>0</v>
          </cell>
          <cell r="Q29">
            <v>0</v>
          </cell>
          <cell r="R29">
            <v>2949754</v>
          </cell>
          <cell r="S29">
            <v>10000</v>
          </cell>
          <cell r="T29">
            <v>190000</v>
          </cell>
          <cell r="U29">
            <v>0</v>
          </cell>
          <cell r="V29">
            <v>0</v>
          </cell>
          <cell r="W29">
            <v>200000</v>
          </cell>
          <cell r="X29">
            <v>0</v>
          </cell>
          <cell r="Y29">
            <v>117990</v>
          </cell>
          <cell r="Z29">
            <v>133919</v>
          </cell>
          <cell r="AA29">
            <v>58995</v>
          </cell>
          <cell r="AC29">
            <v>3339754</v>
          </cell>
          <cell r="AD29">
            <v>29498</v>
          </cell>
          <cell r="AE29">
            <v>58995</v>
          </cell>
          <cell r="AF29">
            <v>29498</v>
          </cell>
          <cell r="AG29">
            <v>0</v>
          </cell>
          <cell r="AH29">
            <v>0</v>
          </cell>
          <cell r="AI29">
            <v>0</v>
          </cell>
        </row>
        <row r="30">
          <cell r="B30" t="str">
            <v>02-0119-252</v>
          </cell>
          <cell r="C30" t="str">
            <v>Muhammad Targhibul Hasan</v>
          </cell>
          <cell r="D30" t="str">
            <v>Tetap</v>
          </cell>
          <cell r="E30" t="str">
            <v>Aktif</v>
          </cell>
          <cell r="G30">
            <v>74</v>
          </cell>
          <cell r="H30" t="str">
            <v>Procurement &amp; GA</v>
          </cell>
          <cell r="I30" t="str">
            <v>GA</v>
          </cell>
          <cell r="J30" t="str">
            <v>GA Officer</v>
          </cell>
          <cell r="K30" t="str">
            <v>Officer</v>
          </cell>
          <cell r="L30" t="str">
            <v>0131227816</v>
          </cell>
          <cell r="M30">
            <v>18</v>
          </cell>
          <cell r="N30">
            <v>21</v>
          </cell>
          <cell r="O30">
            <v>2883099</v>
          </cell>
          <cell r="P30">
            <v>500000</v>
          </cell>
          <cell r="Q30">
            <v>0</v>
          </cell>
          <cell r="R30">
            <v>3383099</v>
          </cell>
          <cell r="S30">
            <v>11900</v>
          </cell>
          <cell r="T30">
            <v>214200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135324</v>
          </cell>
          <cell r="Z30">
            <v>153593</v>
          </cell>
          <cell r="AA30">
            <v>67662</v>
          </cell>
          <cell r="AC30">
            <v>3597299</v>
          </cell>
          <cell r="AD30">
            <v>33831</v>
          </cell>
          <cell r="AE30">
            <v>67662</v>
          </cell>
          <cell r="AF30">
            <v>33831</v>
          </cell>
          <cell r="AG30">
            <v>0</v>
          </cell>
          <cell r="AH30">
            <v>0</v>
          </cell>
          <cell r="AI30">
            <v>0</v>
          </cell>
        </row>
        <row r="31">
          <cell r="B31" t="str">
            <v>02-0319-272</v>
          </cell>
          <cell r="C31" t="str">
            <v>Pamuji</v>
          </cell>
          <cell r="D31" t="str">
            <v>Kontrak</v>
          </cell>
          <cell r="E31" t="str">
            <v>Aktif</v>
          </cell>
          <cell r="G31">
            <v>72</v>
          </cell>
          <cell r="H31" t="str">
            <v>Maintenance</v>
          </cell>
          <cell r="I31" t="str">
            <v>Maintenance</v>
          </cell>
          <cell r="J31" t="str">
            <v>ME Team Leader</v>
          </cell>
          <cell r="K31" t="str">
            <v>Crew</v>
          </cell>
          <cell r="L31" t="str">
            <v>0131245474</v>
          </cell>
          <cell r="M31">
            <v>21</v>
          </cell>
          <cell r="N31">
            <v>25</v>
          </cell>
          <cell r="O31">
            <v>2750136</v>
          </cell>
          <cell r="P31">
            <v>0</v>
          </cell>
          <cell r="Q31">
            <v>250000</v>
          </cell>
          <cell r="R31">
            <v>3000136</v>
          </cell>
          <cell r="S31">
            <v>10000</v>
          </cell>
          <cell r="T31">
            <v>210000</v>
          </cell>
          <cell r="U31">
            <v>0</v>
          </cell>
          <cell r="V31">
            <v>0</v>
          </cell>
          <cell r="W31">
            <v>200000</v>
          </cell>
          <cell r="X31">
            <v>0</v>
          </cell>
          <cell r="Y31">
            <v>120005</v>
          </cell>
          <cell r="Z31">
            <v>136206</v>
          </cell>
          <cell r="AA31">
            <v>60003</v>
          </cell>
          <cell r="AC31">
            <v>3410136</v>
          </cell>
          <cell r="AD31">
            <v>30001</v>
          </cell>
          <cell r="AE31">
            <v>60003</v>
          </cell>
          <cell r="AF31">
            <v>30001</v>
          </cell>
          <cell r="AG31">
            <v>0</v>
          </cell>
          <cell r="AH31">
            <v>0</v>
          </cell>
          <cell r="AI31">
            <v>0</v>
          </cell>
        </row>
        <row r="32">
          <cell r="B32" t="str">
            <v>02-0319-273</v>
          </cell>
          <cell r="C32" t="str">
            <v>Dimas Febby Pramudya</v>
          </cell>
          <cell r="D32" t="str">
            <v>Kontrak</v>
          </cell>
          <cell r="E32" t="str">
            <v>Aktif</v>
          </cell>
          <cell r="G32">
            <v>72</v>
          </cell>
          <cell r="H32" t="str">
            <v>Operation</v>
          </cell>
          <cell r="I32" t="str">
            <v>Operation</v>
          </cell>
          <cell r="J32" t="str">
            <v>Operation Crew</v>
          </cell>
          <cell r="K32" t="str">
            <v>Crew</v>
          </cell>
          <cell r="L32" t="str">
            <v>0131245491</v>
          </cell>
          <cell r="M32">
            <v>21</v>
          </cell>
          <cell r="N32">
            <v>25</v>
          </cell>
          <cell r="O32">
            <v>2750136</v>
          </cell>
          <cell r="P32">
            <v>0</v>
          </cell>
          <cell r="Q32">
            <v>0</v>
          </cell>
          <cell r="R32">
            <v>2750136</v>
          </cell>
          <cell r="S32">
            <v>10000</v>
          </cell>
          <cell r="T32">
            <v>210000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110005</v>
          </cell>
          <cell r="Z32">
            <v>124856</v>
          </cell>
          <cell r="AA32">
            <v>55003</v>
          </cell>
          <cell r="AC32">
            <v>2960136</v>
          </cell>
          <cell r="AD32">
            <v>27501</v>
          </cell>
          <cell r="AE32">
            <v>55003</v>
          </cell>
          <cell r="AF32">
            <v>27501</v>
          </cell>
          <cell r="AG32">
            <v>0</v>
          </cell>
          <cell r="AH32">
            <v>0</v>
          </cell>
          <cell r="AI32">
            <v>0</v>
          </cell>
        </row>
        <row r="33">
          <cell r="B33" t="str">
            <v>02-0319-281</v>
          </cell>
          <cell r="C33" t="str">
            <v>Achmad Yusuf Arbianto</v>
          </cell>
          <cell r="D33" t="str">
            <v>Kontrak</v>
          </cell>
          <cell r="E33" t="str">
            <v>Aktif</v>
          </cell>
          <cell r="G33">
            <v>72</v>
          </cell>
          <cell r="H33" t="str">
            <v>Maintenance</v>
          </cell>
          <cell r="I33" t="str">
            <v>Maintenance</v>
          </cell>
          <cell r="J33" t="str">
            <v>ME Crew</v>
          </cell>
          <cell r="K33" t="str">
            <v>Crew</v>
          </cell>
          <cell r="L33" t="str">
            <v>0131251865</v>
          </cell>
          <cell r="M33">
            <v>23</v>
          </cell>
          <cell r="N33">
            <v>25</v>
          </cell>
          <cell r="O33">
            <v>2750136</v>
          </cell>
          <cell r="P33">
            <v>0</v>
          </cell>
          <cell r="Q33">
            <v>250000</v>
          </cell>
          <cell r="R33">
            <v>3000136</v>
          </cell>
          <cell r="S33">
            <v>10000</v>
          </cell>
          <cell r="T33">
            <v>230000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120005</v>
          </cell>
          <cell r="Z33">
            <v>136206</v>
          </cell>
          <cell r="AA33">
            <v>60003</v>
          </cell>
          <cell r="AC33">
            <v>3230136</v>
          </cell>
          <cell r="AD33">
            <v>30001</v>
          </cell>
          <cell r="AE33">
            <v>60003</v>
          </cell>
          <cell r="AF33">
            <v>30001</v>
          </cell>
          <cell r="AG33">
            <v>0</v>
          </cell>
          <cell r="AH33">
            <v>0</v>
          </cell>
          <cell r="AI33">
            <v>60003</v>
          </cell>
        </row>
        <row r="34">
          <cell r="B34" t="str">
            <v>02-0419-285</v>
          </cell>
          <cell r="C34" t="str">
            <v>Nuryanto</v>
          </cell>
          <cell r="D34" t="str">
            <v>Kontrak</v>
          </cell>
          <cell r="E34" t="str">
            <v>Aktif</v>
          </cell>
          <cell r="G34">
            <v>71</v>
          </cell>
          <cell r="H34" t="str">
            <v>Inpark Revenue</v>
          </cell>
          <cell r="I34" t="str">
            <v>FB Product</v>
          </cell>
          <cell r="J34" t="str">
            <v>Cook Team Leader</v>
          </cell>
          <cell r="K34" t="str">
            <v>Crew</v>
          </cell>
          <cell r="L34" t="str">
            <v>0131251881</v>
          </cell>
          <cell r="M34">
            <v>20</v>
          </cell>
          <cell r="N34">
            <v>25</v>
          </cell>
          <cell r="O34">
            <v>3027254</v>
          </cell>
          <cell r="P34">
            <v>0</v>
          </cell>
          <cell r="Q34">
            <v>0</v>
          </cell>
          <cell r="R34">
            <v>3027254</v>
          </cell>
          <cell r="S34">
            <v>10000</v>
          </cell>
          <cell r="T34">
            <v>200000</v>
          </cell>
          <cell r="U34">
            <v>0</v>
          </cell>
          <cell r="V34">
            <v>0</v>
          </cell>
          <cell r="W34">
            <v>200000</v>
          </cell>
          <cell r="X34">
            <v>0</v>
          </cell>
          <cell r="Y34">
            <v>121090</v>
          </cell>
          <cell r="Z34">
            <v>137437</v>
          </cell>
          <cell r="AA34">
            <v>60545</v>
          </cell>
          <cell r="AC34">
            <v>3427254</v>
          </cell>
          <cell r="AD34">
            <v>30273</v>
          </cell>
          <cell r="AE34">
            <v>60545</v>
          </cell>
          <cell r="AF34">
            <v>30273</v>
          </cell>
          <cell r="AG34">
            <v>0</v>
          </cell>
          <cell r="AH34">
            <v>0</v>
          </cell>
          <cell r="AI34">
            <v>0</v>
          </cell>
        </row>
        <row r="35">
          <cell r="B35" t="str">
            <v>02-0619-312</v>
          </cell>
          <cell r="C35" t="str">
            <v>Purwito</v>
          </cell>
          <cell r="D35" t="str">
            <v>Kontrak</v>
          </cell>
          <cell r="E35" t="str">
            <v>Aktif</v>
          </cell>
          <cell r="G35">
            <v>69</v>
          </cell>
          <cell r="H35" t="str">
            <v>Maintenance</v>
          </cell>
          <cell r="I35" t="str">
            <v>Landscape &amp; Environment</v>
          </cell>
          <cell r="J35" t="str">
            <v>Landscape Team Leader</v>
          </cell>
          <cell r="K35" t="str">
            <v>Crew</v>
          </cell>
          <cell r="L35" t="str">
            <v>8715936212</v>
          </cell>
          <cell r="M35">
            <v>19</v>
          </cell>
          <cell r="N35">
            <v>25</v>
          </cell>
          <cell r="O35">
            <v>2750136</v>
          </cell>
          <cell r="P35">
            <v>0</v>
          </cell>
          <cell r="Q35">
            <v>0</v>
          </cell>
          <cell r="R35">
            <v>2750136</v>
          </cell>
          <cell r="S35">
            <v>10000</v>
          </cell>
          <cell r="T35">
            <v>190000</v>
          </cell>
          <cell r="U35">
            <v>0</v>
          </cell>
          <cell r="V35">
            <v>238452</v>
          </cell>
          <cell r="W35">
            <v>200000</v>
          </cell>
          <cell r="X35">
            <v>0</v>
          </cell>
          <cell r="Y35">
            <v>110005</v>
          </cell>
          <cell r="Z35">
            <v>124856</v>
          </cell>
          <cell r="AA35">
            <v>55003</v>
          </cell>
          <cell r="AC35">
            <v>3378588</v>
          </cell>
          <cell r="AD35">
            <v>27501</v>
          </cell>
          <cell r="AE35">
            <v>55003</v>
          </cell>
          <cell r="AF35">
            <v>27501</v>
          </cell>
          <cell r="AG35">
            <v>0</v>
          </cell>
          <cell r="AH35">
            <v>0</v>
          </cell>
          <cell r="AI35">
            <v>0</v>
          </cell>
        </row>
        <row r="36">
          <cell r="B36" t="str">
            <v>02-0719-333</v>
          </cell>
          <cell r="C36" t="str">
            <v>Bagas Widyantoro</v>
          </cell>
          <cell r="D36" t="str">
            <v>Kontrak</v>
          </cell>
          <cell r="E36" t="str">
            <v>Aktif</v>
          </cell>
          <cell r="G36">
            <v>68</v>
          </cell>
          <cell r="H36" t="str">
            <v>Maintenance</v>
          </cell>
          <cell r="I36" t="str">
            <v xml:space="preserve">Sound &amp;  Lighting </v>
          </cell>
          <cell r="J36" t="str">
            <v>Sound &amp;  Lighting Crew</v>
          </cell>
          <cell r="K36" t="str">
            <v>Crew</v>
          </cell>
          <cell r="L36" t="str">
            <v>0131065352</v>
          </cell>
          <cell r="M36">
            <v>21</v>
          </cell>
          <cell r="N36">
            <v>25</v>
          </cell>
          <cell r="O36">
            <v>2820980</v>
          </cell>
          <cell r="P36">
            <v>0</v>
          </cell>
          <cell r="Q36">
            <v>0</v>
          </cell>
          <cell r="R36">
            <v>2820980</v>
          </cell>
          <cell r="S36">
            <v>10000</v>
          </cell>
          <cell r="T36">
            <v>210000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112839</v>
          </cell>
          <cell r="Z36">
            <v>128072</v>
          </cell>
          <cell r="AA36">
            <v>56420</v>
          </cell>
          <cell r="AC36">
            <v>3030980</v>
          </cell>
          <cell r="AD36">
            <v>28210</v>
          </cell>
          <cell r="AE36">
            <v>56420</v>
          </cell>
          <cell r="AF36">
            <v>28210</v>
          </cell>
          <cell r="AG36">
            <v>0</v>
          </cell>
          <cell r="AH36">
            <v>0</v>
          </cell>
          <cell r="AI36">
            <v>0</v>
          </cell>
        </row>
        <row r="37">
          <cell r="B37" t="str">
            <v>02-0719-337</v>
          </cell>
          <cell r="C37" t="str">
            <v>Muhammad Rozid AlFaizi</v>
          </cell>
          <cell r="D37" t="str">
            <v>Kontrak</v>
          </cell>
          <cell r="E37" t="str">
            <v>Aktif</v>
          </cell>
          <cell r="G37">
            <v>68</v>
          </cell>
          <cell r="H37" t="str">
            <v>Operation</v>
          </cell>
          <cell r="I37" t="str">
            <v>Operation</v>
          </cell>
          <cell r="J37" t="str">
            <v>Operation Crew</v>
          </cell>
          <cell r="K37" t="str">
            <v>Crew</v>
          </cell>
          <cell r="L37" t="str">
            <v>0131287550</v>
          </cell>
          <cell r="M37">
            <v>21</v>
          </cell>
          <cell r="N37">
            <v>25</v>
          </cell>
          <cell r="O37">
            <v>2750136</v>
          </cell>
          <cell r="P37">
            <v>0</v>
          </cell>
          <cell r="Q37">
            <v>0</v>
          </cell>
          <cell r="R37">
            <v>2750136</v>
          </cell>
          <cell r="S37">
            <v>10000</v>
          </cell>
          <cell r="T37">
            <v>210000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110005</v>
          </cell>
          <cell r="Z37">
            <v>124856</v>
          </cell>
          <cell r="AA37">
            <v>55003</v>
          </cell>
          <cell r="AC37">
            <v>2960136</v>
          </cell>
          <cell r="AD37">
            <v>27501</v>
          </cell>
          <cell r="AE37">
            <v>55003</v>
          </cell>
          <cell r="AF37">
            <v>27501</v>
          </cell>
          <cell r="AG37">
            <v>0</v>
          </cell>
          <cell r="AH37">
            <v>0</v>
          </cell>
          <cell r="AI37">
            <v>0</v>
          </cell>
        </row>
        <row r="38">
          <cell r="B38" t="str">
            <v>02-0719-358</v>
          </cell>
          <cell r="C38" t="str">
            <v>Didik Nugroho</v>
          </cell>
          <cell r="D38" t="str">
            <v>Kontrak</v>
          </cell>
          <cell r="E38" t="str">
            <v>Aktif</v>
          </cell>
          <cell r="G38">
            <v>68</v>
          </cell>
          <cell r="H38" t="str">
            <v>Operation</v>
          </cell>
          <cell r="I38" t="str">
            <v>Operation</v>
          </cell>
          <cell r="J38" t="str">
            <v>Operation Crew</v>
          </cell>
          <cell r="K38" t="str">
            <v>Crew</v>
          </cell>
          <cell r="L38" t="str">
            <v>0131287568</v>
          </cell>
          <cell r="M38">
            <v>21</v>
          </cell>
          <cell r="N38">
            <v>25</v>
          </cell>
          <cell r="O38">
            <v>2750136</v>
          </cell>
          <cell r="P38">
            <v>0</v>
          </cell>
          <cell r="Q38">
            <v>0</v>
          </cell>
          <cell r="R38">
            <v>2750136</v>
          </cell>
          <cell r="S38">
            <v>10000</v>
          </cell>
          <cell r="T38">
            <v>210000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110005</v>
          </cell>
          <cell r="Z38">
            <v>124856</v>
          </cell>
          <cell r="AA38">
            <v>55003</v>
          </cell>
          <cell r="AC38">
            <v>2960136</v>
          </cell>
          <cell r="AD38">
            <v>27501</v>
          </cell>
          <cell r="AE38">
            <v>55003</v>
          </cell>
          <cell r="AF38">
            <v>27501</v>
          </cell>
          <cell r="AG38">
            <v>0</v>
          </cell>
          <cell r="AH38">
            <v>0</v>
          </cell>
          <cell r="AI38">
            <v>0</v>
          </cell>
        </row>
        <row r="39">
          <cell r="B39" t="str">
            <v>02-0719-375</v>
          </cell>
          <cell r="C39" t="str">
            <v>Agus Ivan Kurniawan</v>
          </cell>
          <cell r="D39" t="str">
            <v>Kontrak</v>
          </cell>
          <cell r="E39" t="str">
            <v>Aktif</v>
          </cell>
          <cell r="G39">
            <v>68</v>
          </cell>
          <cell r="H39" t="str">
            <v>Maintenance</v>
          </cell>
          <cell r="I39" t="str">
            <v>Landscape &amp; Environment</v>
          </cell>
          <cell r="J39" t="str">
            <v>Landscape Crew</v>
          </cell>
          <cell r="K39" t="str">
            <v>Crew</v>
          </cell>
          <cell r="L39" t="str">
            <v>0131296320</v>
          </cell>
          <cell r="M39">
            <v>22</v>
          </cell>
          <cell r="N39">
            <v>25</v>
          </cell>
          <cell r="O39">
            <v>2750136</v>
          </cell>
          <cell r="P39">
            <v>0</v>
          </cell>
          <cell r="Q39">
            <v>0</v>
          </cell>
          <cell r="R39">
            <v>2750136</v>
          </cell>
          <cell r="S39">
            <v>10000</v>
          </cell>
          <cell r="T39">
            <v>220000</v>
          </cell>
          <cell r="U39">
            <v>0</v>
          </cell>
          <cell r="V39">
            <v>119226</v>
          </cell>
          <cell r="W39">
            <v>0</v>
          </cell>
          <cell r="X39">
            <v>0</v>
          </cell>
          <cell r="Y39">
            <v>110005</v>
          </cell>
          <cell r="Z39">
            <v>124856</v>
          </cell>
          <cell r="AA39">
            <v>55003</v>
          </cell>
          <cell r="AC39">
            <v>3089362</v>
          </cell>
          <cell r="AD39">
            <v>27501</v>
          </cell>
          <cell r="AE39">
            <v>55003</v>
          </cell>
          <cell r="AF39">
            <v>27501</v>
          </cell>
          <cell r="AG39">
            <v>0</v>
          </cell>
          <cell r="AH39">
            <v>0</v>
          </cell>
          <cell r="AI39">
            <v>0</v>
          </cell>
        </row>
        <row r="40">
          <cell r="B40" t="str">
            <v>02-0719-383</v>
          </cell>
          <cell r="C40" t="str">
            <v>Zoelfa Arifudin</v>
          </cell>
          <cell r="D40" t="str">
            <v>Kontrak</v>
          </cell>
          <cell r="E40" t="str">
            <v>Aktif</v>
          </cell>
          <cell r="G40">
            <v>68</v>
          </cell>
          <cell r="H40" t="str">
            <v>Inpark Revenue</v>
          </cell>
          <cell r="I40" t="str">
            <v>Inpark Revenue Operational</v>
          </cell>
          <cell r="J40" t="str">
            <v>Inpark Revenue Operational Team Leader</v>
          </cell>
          <cell r="K40" t="str">
            <v>Crew</v>
          </cell>
          <cell r="L40" t="str">
            <v>0131286251</v>
          </cell>
          <cell r="M40">
            <v>20</v>
          </cell>
          <cell r="N40">
            <v>25</v>
          </cell>
          <cell r="O40">
            <v>2750136</v>
          </cell>
          <cell r="P40">
            <v>0</v>
          </cell>
          <cell r="Q40">
            <v>0</v>
          </cell>
          <cell r="R40">
            <v>2750136</v>
          </cell>
          <cell r="S40">
            <v>10000</v>
          </cell>
          <cell r="T40">
            <v>200000</v>
          </cell>
          <cell r="U40">
            <v>0</v>
          </cell>
          <cell r="V40">
            <v>0</v>
          </cell>
          <cell r="W40">
            <v>200000</v>
          </cell>
          <cell r="X40">
            <v>0</v>
          </cell>
          <cell r="Y40">
            <v>110005</v>
          </cell>
          <cell r="Z40">
            <v>124856</v>
          </cell>
          <cell r="AA40">
            <v>55003</v>
          </cell>
          <cell r="AC40">
            <v>3150136</v>
          </cell>
          <cell r="AD40">
            <v>27501</v>
          </cell>
          <cell r="AE40">
            <v>55003</v>
          </cell>
          <cell r="AF40">
            <v>27501</v>
          </cell>
          <cell r="AG40">
            <v>0</v>
          </cell>
          <cell r="AH40">
            <v>0</v>
          </cell>
          <cell r="AI40">
            <v>0</v>
          </cell>
        </row>
        <row r="41">
          <cell r="B41" t="str">
            <v>02-0719-388</v>
          </cell>
          <cell r="C41" t="str">
            <v>Banu Susanto</v>
          </cell>
          <cell r="D41" t="str">
            <v>Tetap</v>
          </cell>
          <cell r="E41" t="str">
            <v>Aktif</v>
          </cell>
          <cell r="G41">
            <v>68</v>
          </cell>
          <cell r="H41" t="str">
            <v>IT</v>
          </cell>
          <cell r="I41" t="str">
            <v>Infrastructure &amp; Network</v>
          </cell>
          <cell r="J41" t="str">
            <v>Infrastructure &amp; network officer</v>
          </cell>
          <cell r="K41" t="str">
            <v>Officer</v>
          </cell>
          <cell r="L41" t="str">
            <v>0131293690</v>
          </cell>
          <cell r="M41">
            <v>19</v>
          </cell>
          <cell r="N41">
            <v>21</v>
          </cell>
          <cell r="O41">
            <v>2827000</v>
          </cell>
          <cell r="P41">
            <v>500000</v>
          </cell>
          <cell r="Q41">
            <v>250000</v>
          </cell>
          <cell r="R41">
            <v>3577000</v>
          </cell>
          <cell r="S41">
            <v>11900</v>
          </cell>
          <cell r="T41">
            <v>226100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143080</v>
          </cell>
          <cell r="Z41">
            <v>162396</v>
          </cell>
          <cell r="AA41">
            <v>71540</v>
          </cell>
          <cell r="AC41">
            <v>3803100</v>
          </cell>
          <cell r="AD41">
            <v>35770</v>
          </cell>
          <cell r="AE41">
            <v>71540</v>
          </cell>
          <cell r="AF41">
            <v>35770</v>
          </cell>
          <cell r="AG41">
            <v>0</v>
          </cell>
          <cell r="AH41">
            <v>0</v>
          </cell>
          <cell r="AI41">
            <v>0</v>
          </cell>
        </row>
        <row r="42">
          <cell r="B42" t="str">
            <v>02-0819-392</v>
          </cell>
          <cell r="C42" t="str">
            <v>Muhammad Riyadhoh</v>
          </cell>
          <cell r="D42" t="str">
            <v>Kontrak</v>
          </cell>
          <cell r="E42" t="str">
            <v>Aktif</v>
          </cell>
          <cell r="G42">
            <v>67</v>
          </cell>
          <cell r="H42" t="str">
            <v>Maintenance</v>
          </cell>
          <cell r="I42" t="str">
            <v>Maintenance</v>
          </cell>
          <cell r="J42" t="str">
            <v>ME Crew</v>
          </cell>
          <cell r="K42" t="str">
            <v>Crew</v>
          </cell>
          <cell r="L42" t="str">
            <v>0131296401</v>
          </cell>
          <cell r="M42">
            <v>19</v>
          </cell>
          <cell r="N42">
            <v>25</v>
          </cell>
          <cell r="O42">
            <v>2750136</v>
          </cell>
          <cell r="P42">
            <v>0</v>
          </cell>
          <cell r="Q42">
            <v>250000</v>
          </cell>
          <cell r="R42">
            <v>3000136</v>
          </cell>
          <cell r="S42">
            <v>10000</v>
          </cell>
          <cell r="T42">
            <v>190000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120005</v>
          </cell>
          <cell r="Z42">
            <v>136206</v>
          </cell>
          <cell r="AA42">
            <v>60003</v>
          </cell>
          <cell r="AC42">
            <v>3190136</v>
          </cell>
          <cell r="AD42">
            <v>30001</v>
          </cell>
          <cell r="AE42">
            <v>60003</v>
          </cell>
          <cell r="AF42">
            <v>30001</v>
          </cell>
          <cell r="AG42">
            <v>0</v>
          </cell>
          <cell r="AH42">
            <v>0</v>
          </cell>
          <cell r="AI42">
            <v>0</v>
          </cell>
        </row>
        <row r="43">
          <cell r="B43" t="str">
            <v>02-0919-401</v>
          </cell>
          <cell r="C43" t="str">
            <v>Catur Aldi Styoko</v>
          </cell>
          <cell r="D43" t="str">
            <v>Kontrak</v>
          </cell>
          <cell r="E43" t="str">
            <v>Aktif</v>
          </cell>
          <cell r="G43">
            <v>66</v>
          </cell>
          <cell r="H43" t="str">
            <v>Operation</v>
          </cell>
          <cell r="I43" t="str">
            <v>Operation</v>
          </cell>
          <cell r="J43" t="str">
            <v>Operation Crew</v>
          </cell>
          <cell r="K43" t="str">
            <v>Crew</v>
          </cell>
          <cell r="L43" t="str">
            <v>3200674358</v>
          </cell>
          <cell r="M43">
            <v>22</v>
          </cell>
          <cell r="N43">
            <v>25</v>
          </cell>
          <cell r="O43">
            <v>2750136</v>
          </cell>
          <cell r="P43">
            <v>0</v>
          </cell>
          <cell r="Q43">
            <v>0</v>
          </cell>
          <cell r="R43">
            <v>2750136</v>
          </cell>
          <cell r="S43">
            <v>10000</v>
          </cell>
          <cell r="T43">
            <v>220000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110005</v>
          </cell>
          <cell r="Z43">
            <v>124856</v>
          </cell>
          <cell r="AA43">
            <v>55003</v>
          </cell>
          <cell r="AC43">
            <v>2970136</v>
          </cell>
          <cell r="AD43">
            <v>27501</v>
          </cell>
          <cell r="AE43">
            <v>55003</v>
          </cell>
          <cell r="AF43">
            <v>27501</v>
          </cell>
          <cell r="AG43">
            <v>0</v>
          </cell>
          <cell r="AH43">
            <v>0</v>
          </cell>
          <cell r="AI43">
            <v>0</v>
          </cell>
        </row>
        <row r="44">
          <cell r="B44" t="str">
            <v>02-0919-402</v>
          </cell>
          <cell r="C44" t="str">
            <v>Gilang Perdana</v>
          </cell>
          <cell r="D44" t="str">
            <v>Kontrak</v>
          </cell>
          <cell r="E44" t="str">
            <v>Aktif</v>
          </cell>
          <cell r="G44">
            <v>66</v>
          </cell>
          <cell r="H44" t="str">
            <v>Operation</v>
          </cell>
          <cell r="I44" t="str">
            <v>Operation</v>
          </cell>
          <cell r="J44" t="str">
            <v>Operation Crew</v>
          </cell>
          <cell r="K44" t="str">
            <v>Crew</v>
          </cell>
          <cell r="L44" t="str">
            <v>0131288025</v>
          </cell>
          <cell r="M44">
            <v>20</v>
          </cell>
          <cell r="N44">
            <v>25</v>
          </cell>
          <cell r="O44">
            <v>2750136</v>
          </cell>
          <cell r="P44">
            <v>0</v>
          </cell>
          <cell r="Q44">
            <v>0</v>
          </cell>
          <cell r="R44">
            <v>2750136</v>
          </cell>
          <cell r="S44">
            <v>10000</v>
          </cell>
          <cell r="T44">
            <v>200000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110005</v>
          </cell>
          <cell r="Z44">
            <v>124856</v>
          </cell>
          <cell r="AA44">
            <v>55003</v>
          </cell>
          <cell r="AC44">
            <v>2950136</v>
          </cell>
          <cell r="AD44">
            <v>27501</v>
          </cell>
          <cell r="AE44">
            <v>55003</v>
          </cell>
          <cell r="AF44">
            <v>27501</v>
          </cell>
          <cell r="AG44">
            <v>0</v>
          </cell>
          <cell r="AH44">
            <v>0</v>
          </cell>
          <cell r="AI44">
            <v>0</v>
          </cell>
        </row>
        <row r="45">
          <cell r="B45" t="str">
            <v>02-0919-410</v>
          </cell>
          <cell r="C45" t="str">
            <v>Hasnul Wahyudin</v>
          </cell>
          <cell r="D45" t="str">
            <v>Kontrak</v>
          </cell>
          <cell r="E45" t="str">
            <v>Aktif</v>
          </cell>
          <cell r="G45">
            <v>66</v>
          </cell>
          <cell r="H45" t="str">
            <v>Maintenance</v>
          </cell>
          <cell r="I45" t="str">
            <v>Maintenance</v>
          </cell>
          <cell r="J45" t="str">
            <v>ME Crew</v>
          </cell>
          <cell r="K45" t="str">
            <v>Crew</v>
          </cell>
          <cell r="L45" t="str">
            <v>0131308034</v>
          </cell>
          <cell r="M45">
            <v>21</v>
          </cell>
          <cell r="N45">
            <v>25</v>
          </cell>
          <cell r="O45">
            <v>2750136</v>
          </cell>
          <cell r="P45">
            <v>0</v>
          </cell>
          <cell r="Q45">
            <v>250000</v>
          </cell>
          <cell r="R45">
            <v>3000136</v>
          </cell>
          <cell r="S45">
            <v>10000</v>
          </cell>
          <cell r="T45">
            <v>210000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120005</v>
          </cell>
          <cell r="Z45">
            <v>136206</v>
          </cell>
          <cell r="AA45">
            <v>60003</v>
          </cell>
          <cell r="AC45">
            <v>3210136</v>
          </cell>
          <cell r="AD45">
            <v>30001</v>
          </cell>
          <cell r="AE45">
            <v>60003</v>
          </cell>
          <cell r="AF45">
            <v>30001</v>
          </cell>
          <cell r="AG45">
            <v>0</v>
          </cell>
          <cell r="AH45">
            <v>0</v>
          </cell>
          <cell r="AI45">
            <v>0</v>
          </cell>
        </row>
        <row r="46">
          <cell r="B46" t="str">
            <v>02-0919-412</v>
          </cell>
          <cell r="C46" t="str">
            <v>Arya Nugraha</v>
          </cell>
          <cell r="D46" t="str">
            <v>Kontrak</v>
          </cell>
          <cell r="E46" t="str">
            <v>Aktif</v>
          </cell>
          <cell r="G46">
            <v>66</v>
          </cell>
          <cell r="H46" t="str">
            <v>Maintenance</v>
          </cell>
          <cell r="I46" t="str">
            <v>Maintenance</v>
          </cell>
          <cell r="J46" t="str">
            <v>ME Crew</v>
          </cell>
          <cell r="K46" t="str">
            <v>Crew</v>
          </cell>
          <cell r="L46" t="str">
            <v>0131308051</v>
          </cell>
          <cell r="M46">
            <v>23</v>
          </cell>
          <cell r="N46">
            <v>25</v>
          </cell>
          <cell r="O46">
            <v>2750136</v>
          </cell>
          <cell r="P46">
            <v>0</v>
          </cell>
          <cell r="Q46">
            <v>250000</v>
          </cell>
          <cell r="R46">
            <v>3000136</v>
          </cell>
          <cell r="S46">
            <v>10000</v>
          </cell>
          <cell r="T46">
            <v>230000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120005</v>
          </cell>
          <cell r="Z46">
            <v>136206</v>
          </cell>
          <cell r="AA46">
            <v>60003</v>
          </cell>
          <cell r="AC46">
            <v>3230136</v>
          </cell>
          <cell r="AD46">
            <v>30001</v>
          </cell>
          <cell r="AE46">
            <v>60003</v>
          </cell>
          <cell r="AF46">
            <v>30001</v>
          </cell>
          <cell r="AG46">
            <v>0</v>
          </cell>
          <cell r="AH46">
            <v>0</v>
          </cell>
          <cell r="AI46">
            <v>0</v>
          </cell>
        </row>
        <row r="47">
          <cell r="B47" t="str">
            <v>02-0919-414</v>
          </cell>
          <cell r="C47" t="str">
            <v>Anisa Ayu Muttaqina</v>
          </cell>
          <cell r="D47" t="str">
            <v>Tetap</v>
          </cell>
          <cell r="E47" t="str">
            <v>Aktif</v>
          </cell>
          <cell r="G47">
            <v>66</v>
          </cell>
          <cell r="H47" t="str">
            <v>Marketing &amp; Partenership</v>
          </cell>
          <cell r="I47" t="str">
            <v>Corporate Communication</v>
          </cell>
          <cell r="J47" t="str">
            <v>Corporate Communication Spv</v>
          </cell>
          <cell r="K47" t="str">
            <v>SPV</v>
          </cell>
          <cell r="L47" t="str">
            <v>0130987176</v>
          </cell>
          <cell r="M47">
            <v>16</v>
          </cell>
          <cell r="N47">
            <v>21</v>
          </cell>
          <cell r="O47">
            <v>5100000</v>
          </cell>
          <cell r="P47">
            <v>1000000</v>
          </cell>
          <cell r="Q47">
            <v>0</v>
          </cell>
          <cell r="R47">
            <v>6100000</v>
          </cell>
          <cell r="S47">
            <v>19000</v>
          </cell>
          <cell r="T47">
            <v>304000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244000</v>
          </cell>
          <cell r="Z47">
            <v>276940</v>
          </cell>
          <cell r="AA47">
            <v>122000</v>
          </cell>
          <cell r="AC47">
            <v>6404000</v>
          </cell>
          <cell r="AD47">
            <v>61000</v>
          </cell>
          <cell r="AE47">
            <v>122000</v>
          </cell>
          <cell r="AF47">
            <v>61000</v>
          </cell>
          <cell r="AG47">
            <v>0</v>
          </cell>
          <cell r="AH47">
            <v>0</v>
          </cell>
          <cell r="AI47">
            <v>0</v>
          </cell>
        </row>
        <row r="48">
          <cell r="B48" t="str">
            <v>02-0919-415</v>
          </cell>
          <cell r="C48" t="str">
            <v>Mohamad Sholahudin</v>
          </cell>
          <cell r="D48" t="str">
            <v>Kontrak</v>
          </cell>
          <cell r="E48" t="str">
            <v>Aktif</v>
          </cell>
          <cell r="G48">
            <v>66</v>
          </cell>
          <cell r="H48" t="str">
            <v>Maintenance</v>
          </cell>
          <cell r="I48" t="str">
            <v>Maintenance</v>
          </cell>
          <cell r="J48" t="str">
            <v>ME Crew</v>
          </cell>
          <cell r="K48" t="str">
            <v>Crew</v>
          </cell>
          <cell r="L48" t="str">
            <v>0131315014</v>
          </cell>
          <cell r="M48">
            <v>19</v>
          </cell>
          <cell r="N48">
            <v>25</v>
          </cell>
          <cell r="O48">
            <v>2750136</v>
          </cell>
          <cell r="P48">
            <v>0</v>
          </cell>
          <cell r="Q48">
            <v>250000</v>
          </cell>
          <cell r="R48">
            <v>3000136</v>
          </cell>
          <cell r="S48">
            <v>10000</v>
          </cell>
          <cell r="T48">
            <v>190000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120005</v>
          </cell>
          <cell r="Z48">
            <v>136206</v>
          </cell>
          <cell r="AA48">
            <v>60003</v>
          </cell>
          <cell r="AC48">
            <v>3190136</v>
          </cell>
          <cell r="AD48">
            <v>30001</v>
          </cell>
          <cell r="AE48">
            <v>60003</v>
          </cell>
          <cell r="AF48">
            <v>30001</v>
          </cell>
          <cell r="AG48">
            <v>0</v>
          </cell>
          <cell r="AH48">
            <v>0</v>
          </cell>
          <cell r="AI48">
            <v>0</v>
          </cell>
        </row>
        <row r="49">
          <cell r="B49" t="str">
            <v>02-1019-425</v>
          </cell>
          <cell r="C49" t="str">
            <v>Ajeng Nurmalitasari</v>
          </cell>
          <cell r="D49" t="str">
            <v>Tetap</v>
          </cell>
          <cell r="E49" t="str">
            <v>Aktif</v>
          </cell>
          <cell r="G49">
            <v>65</v>
          </cell>
          <cell r="H49" t="str">
            <v>Inpark Revenue</v>
          </cell>
          <cell r="I49" t="str">
            <v>Partnership &amp; Support</v>
          </cell>
          <cell r="J49" t="str">
            <v>Partnership &amp; Support SPV</v>
          </cell>
          <cell r="K49" t="str">
            <v>SPV</v>
          </cell>
          <cell r="L49" t="str">
            <v>0131313739</v>
          </cell>
          <cell r="M49">
            <v>9</v>
          </cell>
          <cell r="N49">
            <v>21</v>
          </cell>
          <cell r="O49">
            <v>4400000</v>
          </cell>
          <cell r="P49">
            <v>1000000</v>
          </cell>
          <cell r="Q49">
            <v>0</v>
          </cell>
          <cell r="R49">
            <v>5400000</v>
          </cell>
          <cell r="S49">
            <v>19000</v>
          </cell>
          <cell r="T49">
            <v>171000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216000</v>
          </cell>
          <cell r="Z49">
            <v>245160</v>
          </cell>
          <cell r="AA49">
            <v>108000</v>
          </cell>
          <cell r="AC49">
            <v>5571000</v>
          </cell>
          <cell r="AD49">
            <v>54000</v>
          </cell>
          <cell r="AE49">
            <v>108000</v>
          </cell>
          <cell r="AF49">
            <v>54000</v>
          </cell>
          <cell r="AG49">
            <v>0</v>
          </cell>
          <cell r="AH49">
            <v>0</v>
          </cell>
          <cell r="AI49">
            <v>0</v>
          </cell>
        </row>
        <row r="50">
          <cell r="B50" t="str">
            <v>02-1019-428</v>
          </cell>
          <cell r="C50" t="str">
            <v>Fx. Fery Eko Setiawan</v>
          </cell>
          <cell r="D50" t="str">
            <v>Kontrak</v>
          </cell>
          <cell r="E50" t="str">
            <v>Aktif</v>
          </cell>
          <cell r="G50">
            <v>65</v>
          </cell>
          <cell r="H50" t="str">
            <v>Finance &amp; Accounting</v>
          </cell>
          <cell r="I50" t="str">
            <v>Warehouse</v>
          </cell>
          <cell r="J50" t="str">
            <v>Warehouse Staff</v>
          </cell>
          <cell r="K50" t="str">
            <v>Crew</v>
          </cell>
          <cell r="L50" t="str">
            <v>2220776053</v>
          </cell>
          <cell r="M50">
            <v>19</v>
          </cell>
          <cell r="N50">
            <v>21</v>
          </cell>
          <cell r="O50">
            <v>3027254</v>
          </cell>
          <cell r="P50">
            <v>0</v>
          </cell>
          <cell r="Q50">
            <v>0</v>
          </cell>
          <cell r="R50">
            <v>3027254</v>
          </cell>
          <cell r="S50">
            <v>10000</v>
          </cell>
          <cell r="T50">
            <v>190000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121090</v>
          </cell>
          <cell r="Z50">
            <v>137437</v>
          </cell>
          <cell r="AA50">
            <v>60545</v>
          </cell>
          <cell r="AC50">
            <v>3217254</v>
          </cell>
          <cell r="AD50">
            <v>30273</v>
          </cell>
          <cell r="AE50">
            <v>60545</v>
          </cell>
          <cell r="AF50">
            <v>30273</v>
          </cell>
          <cell r="AG50">
            <v>0</v>
          </cell>
          <cell r="AH50">
            <v>0</v>
          </cell>
          <cell r="AI50">
            <v>0</v>
          </cell>
        </row>
        <row r="51">
          <cell r="B51" t="str">
            <v>02-1119-446</v>
          </cell>
          <cell r="C51" t="str">
            <v>Misbahul Munir</v>
          </cell>
          <cell r="D51" t="str">
            <v>Tetap</v>
          </cell>
          <cell r="E51" t="str">
            <v>Aktif</v>
          </cell>
          <cell r="G51">
            <v>64</v>
          </cell>
          <cell r="H51" t="str">
            <v>IT</v>
          </cell>
          <cell r="I51" t="str">
            <v>Aplikasi &amp; System</v>
          </cell>
          <cell r="J51" t="str">
            <v>Aplikasi &amp; Sistem SPV</v>
          </cell>
          <cell r="K51" t="str">
            <v>SPV</v>
          </cell>
          <cell r="L51" t="str">
            <v>2291628429</v>
          </cell>
          <cell r="M51">
            <v>17</v>
          </cell>
          <cell r="N51">
            <v>21</v>
          </cell>
          <cell r="O51">
            <v>6237738</v>
          </cell>
          <cell r="P51">
            <v>1000000</v>
          </cell>
          <cell r="Q51">
            <v>700000</v>
          </cell>
          <cell r="R51">
            <v>7937738</v>
          </cell>
          <cell r="S51">
            <v>19000</v>
          </cell>
          <cell r="T51">
            <v>323000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317510</v>
          </cell>
          <cell r="Z51">
            <v>360373</v>
          </cell>
          <cell r="AA51">
            <v>158755</v>
          </cell>
          <cell r="AC51">
            <v>8260738</v>
          </cell>
          <cell r="AD51">
            <v>79377</v>
          </cell>
          <cell r="AE51">
            <v>158755</v>
          </cell>
          <cell r="AF51">
            <v>79377</v>
          </cell>
          <cell r="AG51">
            <v>0</v>
          </cell>
          <cell r="AH51">
            <v>0</v>
          </cell>
          <cell r="AI51">
            <v>0</v>
          </cell>
        </row>
        <row r="52">
          <cell r="B52" t="str">
            <v>02-1119-452</v>
          </cell>
          <cell r="C52" t="str">
            <v>Yusman Ardiansyah</v>
          </cell>
          <cell r="D52" t="str">
            <v>Kontrak</v>
          </cell>
          <cell r="E52" t="str">
            <v>Aktif</v>
          </cell>
          <cell r="G52">
            <v>64</v>
          </cell>
          <cell r="H52" t="str">
            <v>Maintenance</v>
          </cell>
          <cell r="I52" t="str">
            <v>Landscape &amp; Environment</v>
          </cell>
          <cell r="J52" t="str">
            <v>Landscape Team Leader</v>
          </cell>
          <cell r="K52" t="str">
            <v>Crew</v>
          </cell>
          <cell r="L52" t="str">
            <v>2220850229</v>
          </cell>
          <cell r="M52">
            <v>22</v>
          </cell>
          <cell r="N52">
            <v>25</v>
          </cell>
          <cell r="O52">
            <v>2820980</v>
          </cell>
          <cell r="P52">
            <v>0</v>
          </cell>
          <cell r="Q52">
            <v>0</v>
          </cell>
          <cell r="R52">
            <v>2820980</v>
          </cell>
          <cell r="S52">
            <v>10000</v>
          </cell>
          <cell r="T52">
            <v>220000</v>
          </cell>
          <cell r="U52">
            <v>0</v>
          </cell>
          <cell r="V52">
            <v>122297</v>
          </cell>
          <cell r="W52">
            <v>200000</v>
          </cell>
          <cell r="X52">
            <v>0</v>
          </cell>
          <cell r="Y52">
            <v>112839</v>
          </cell>
          <cell r="Z52">
            <v>128072</v>
          </cell>
          <cell r="AA52">
            <v>56420</v>
          </cell>
          <cell r="AC52">
            <v>3363277</v>
          </cell>
          <cell r="AD52">
            <v>28210</v>
          </cell>
          <cell r="AE52">
            <v>56420</v>
          </cell>
          <cell r="AF52">
            <v>28210</v>
          </cell>
          <cell r="AG52">
            <v>0</v>
          </cell>
          <cell r="AH52">
            <v>0</v>
          </cell>
          <cell r="AI52">
            <v>0</v>
          </cell>
        </row>
        <row r="53">
          <cell r="B53" t="str">
            <v>02-1219-492</v>
          </cell>
          <cell r="C53" t="str">
            <v>Muhamad Alaik Mufid</v>
          </cell>
          <cell r="D53" t="str">
            <v>Kontrak</v>
          </cell>
          <cell r="E53" t="str">
            <v>Aktif</v>
          </cell>
          <cell r="G53">
            <v>63</v>
          </cell>
          <cell r="H53" t="str">
            <v>Operation</v>
          </cell>
          <cell r="I53" t="str">
            <v>Operation</v>
          </cell>
          <cell r="J53" t="str">
            <v>Operation Crew</v>
          </cell>
          <cell r="K53" t="str">
            <v>Crew</v>
          </cell>
          <cell r="L53" t="str">
            <v>0131329872</v>
          </cell>
          <cell r="M53">
            <v>21</v>
          </cell>
          <cell r="N53">
            <v>25</v>
          </cell>
          <cell r="O53">
            <v>2750136</v>
          </cell>
          <cell r="P53">
            <v>0</v>
          </cell>
          <cell r="Q53">
            <v>0</v>
          </cell>
          <cell r="R53">
            <v>2750136</v>
          </cell>
          <cell r="S53">
            <v>10000</v>
          </cell>
          <cell r="T53">
            <v>210000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110005</v>
          </cell>
          <cell r="Z53">
            <v>124856</v>
          </cell>
          <cell r="AA53">
            <v>55003</v>
          </cell>
          <cell r="AC53">
            <v>2960136</v>
          </cell>
          <cell r="AD53">
            <v>27501</v>
          </cell>
          <cell r="AE53">
            <v>55003</v>
          </cell>
          <cell r="AF53">
            <v>27501</v>
          </cell>
          <cell r="AG53">
            <v>0</v>
          </cell>
          <cell r="AH53">
            <v>0</v>
          </cell>
          <cell r="AI53">
            <v>0</v>
          </cell>
        </row>
        <row r="54">
          <cell r="B54" t="str">
            <v>02-1219-501</v>
          </cell>
          <cell r="C54" t="str">
            <v>Agus Dwi Suparwanto</v>
          </cell>
          <cell r="D54" t="str">
            <v>Tetap</v>
          </cell>
          <cell r="E54" t="str">
            <v>Aktif</v>
          </cell>
          <cell r="G54">
            <v>63</v>
          </cell>
          <cell r="H54" t="str">
            <v>Inpark Revenue</v>
          </cell>
          <cell r="I54" t="str">
            <v>FB Product</v>
          </cell>
          <cell r="J54" t="str">
            <v>Demi Chef Officer</v>
          </cell>
          <cell r="K54" t="str">
            <v>Officer</v>
          </cell>
          <cell r="L54" t="str">
            <v>8545124757</v>
          </cell>
          <cell r="M54">
            <v>18</v>
          </cell>
          <cell r="N54">
            <v>21</v>
          </cell>
          <cell r="O54">
            <v>3190000</v>
          </cell>
          <cell r="P54">
            <v>500000</v>
          </cell>
          <cell r="Q54">
            <v>0</v>
          </cell>
          <cell r="R54">
            <v>3690000</v>
          </cell>
          <cell r="S54">
            <v>11900</v>
          </cell>
          <cell r="T54">
            <v>214200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147600</v>
          </cell>
          <cell r="Z54">
            <v>167526</v>
          </cell>
          <cell r="AA54">
            <v>73800</v>
          </cell>
          <cell r="AC54">
            <v>3904200</v>
          </cell>
          <cell r="AD54">
            <v>36900</v>
          </cell>
          <cell r="AE54">
            <v>73800</v>
          </cell>
          <cell r="AF54">
            <v>36900</v>
          </cell>
          <cell r="AG54">
            <v>0</v>
          </cell>
          <cell r="AH54">
            <v>0</v>
          </cell>
          <cell r="AI54">
            <v>0</v>
          </cell>
        </row>
        <row r="55">
          <cell r="B55" t="str">
            <v>02-0320-516</v>
          </cell>
          <cell r="C55" t="str">
            <v>Nina Virginia Pinasthika</v>
          </cell>
          <cell r="D55" t="str">
            <v>Tetap</v>
          </cell>
          <cell r="E55" t="str">
            <v>Aktif</v>
          </cell>
          <cell r="G55">
            <v>60</v>
          </cell>
          <cell r="H55" t="str">
            <v>Maintenance</v>
          </cell>
          <cell r="I55" t="str">
            <v>Landscape &amp; Environment</v>
          </cell>
          <cell r="J55" t="str">
            <v>Landscape &amp; Environment Officer</v>
          </cell>
          <cell r="K55" t="str">
            <v>Officer</v>
          </cell>
          <cell r="L55" t="str">
            <v>2521169828</v>
          </cell>
          <cell r="M55">
            <v>16</v>
          </cell>
          <cell r="N55">
            <v>21</v>
          </cell>
          <cell r="O55">
            <v>3408468</v>
          </cell>
          <cell r="P55">
            <v>500000</v>
          </cell>
          <cell r="Q55">
            <v>500000</v>
          </cell>
          <cell r="R55">
            <v>4408468</v>
          </cell>
          <cell r="S55">
            <v>11900</v>
          </cell>
          <cell r="T55">
            <v>190400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176339</v>
          </cell>
          <cell r="Z55">
            <v>200144</v>
          </cell>
          <cell r="AA55">
            <v>88169</v>
          </cell>
          <cell r="AC55">
            <v>4598868</v>
          </cell>
          <cell r="AD55">
            <v>44085</v>
          </cell>
          <cell r="AE55">
            <v>88169</v>
          </cell>
          <cell r="AF55">
            <v>44085</v>
          </cell>
          <cell r="AG55">
            <v>0</v>
          </cell>
          <cell r="AH55">
            <v>0</v>
          </cell>
          <cell r="AI55">
            <v>0</v>
          </cell>
        </row>
        <row r="56">
          <cell r="B56" t="str">
            <v>02-0320-525</v>
          </cell>
          <cell r="C56" t="str">
            <v>Agni Metta Brilyan Lestari</v>
          </cell>
          <cell r="D56" t="str">
            <v>Tetap</v>
          </cell>
          <cell r="E56" t="str">
            <v>Aktif</v>
          </cell>
          <cell r="G56">
            <v>60</v>
          </cell>
          <cell r="H56" t="str">
            <v>Finance &amp; Accounting</v>
          </cell>
          <cell r="I56" t="str">
            <v>Finance</v>
          </cell>
          <cell r="J56" t="str">
            <v>Finnance SPV</v>
          </cell>
          <cell r="K56" t="str">
            <v>SPV</v>
          </cell>
          <cell r="L56" t="str">
            <v>0130929761</v>
          </cell>
          <cell r="M56">
            <v>17</v>
          </cell>
          <cell r="N56">
            <v>21</v>
          </cell>
          <cell r="O56">
            <v>4125000</v>
          </cell>
          <cell r="P56">
            <v>1000000</v>
          </cell>
          <cell r="Q56">
            <v>0</v>
          </cell>
          <cell r="R56">
            <v>5125000</v>
          </cell>
          <cell r="S56">
            <v>19000</v>
          </cell>
          <cell r="T56">
            <v>323000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205000</v>
          </cell>
          <cell r="Z56">
            <v>232675</v>
          </cell>
          <cell r="AA56">
            <v>102500</v>
          </cell>
          <cell r="AC56">
            <v>5448000</v>
          </cell>
          <cell r="AD56">
            <v>51250</v>
          </cell>
          <cell r="AE56">
            <v>102500</v>
          </cell>
          <cell r="AF56">
            <v>51250</v>
          </cell>
          <cell r="AG56">
            <v>0</v>
          </cell>
          <cell r="AH56">
            <v>0</v>
          </cell>
          <cell r="AI56">
            <v>0</v>
          </cell>
        </row>
        <row r="57">
          <cell r="B57" t="str">
            <v>02-0820-530</v>
          </cell>
          <cell r="C57" t="str">
            <v>Jati Waskito Prakoso Gesang</v>
          </cell>
          <cell r="D57" t="str">
            <v>Kontrak</v>
          </cell>
          <cell r="E57" t="str">
            <v>Aktif</v>
          </cell>
          <cell r="G57">
            <v>55</v>
          </cell>
          <cell r="H57" t="str">
            <v>Inpark Revenue</v>
          </cell>
          <cell r="I57" t="str">
            <v>Inpark Revenue Operational</v>
          </cell>
          <cell r="J57" t="str">
            <v>Inpark Revenue Operational Crew</v>
          </cell>
          <cell r="K57" t="str">
            <v>Crew</v>
          </cell>
          <cell r="L57" t="str">
            <v>0131488296</v>
          </cell>
          <cell r="M57">
            <v>21</v>
          </cell>
          <cell r="N57">
            <v>25</v>
          </cell>
          <cell r="O57">
            <v>2750136</v>
          </cell>
          <cell r="P57">
            <v>0</v>
          </cell>
          <cell r="Q57">
            <v>0</v>
          </cell>
          <cell r="R57">
            <v>2750136</v>
          </cell>
          <cell r="S57">
            <v>10000</v>
          </cell>
          <cell r="T57">
            <v>210000</v>
          </cell>
          <cell r="U57">
            <v>0</v>
          </cell>
          <cell r="V57">
            <v>55639</v>
          </cell>
          <cell r="W57">
            <v>0</v>
          </cell>
          <cell r="X57">
            <v>0</v>
          </cell>
          <cell r="Y57">
            <v>110005</v>
          </cell>
          <cell r="Z57">
            <v>124856</v>
          </cell>
          <cell r="AA57">
            <v>55003</v>
          </cell>
          <cell r="AC57">
            <v>3015775</v>
          </cell>
          <cell r="AD57">
            <v>27501</v>
          </cell>
          <cell r="AE57">
            <v>55003</v>
          </cell>
          <cell r="AF57">
            <v>27501</v>
          </cell>
          <cell r="AG57">
            <v>0</v>
          </cell>
          <cell r="AH57">
            <v>0</v>
          </cell>
          <cell r="AI57">
            <v>0</v>
          </cell>
        </row>
        <row r="58">
          <cell r="B58" t="str">
            <v>02-0820-531</v>
          </cell>
          <cell r="C58" t="str">
            <v>Supriyanto</v>
          </cell>
          <cell r="D58" t="str">
            <v>Kontrak</v>
          </cell>
          <cell r="E58" t="str">
            <v>Aktif</v>
          </cell>
          <cell r="G58">
            <v>55</v>
          </cell>
          <cell r="H58" t="str">
            <v>Inpark Revenue</v>
          </cell>
          <cell r="I58" t="str">
            <v>FB Product</v>
          </cell>
          <cell r="J58" t="str">
            <v>Distribution Team Leader</v>
          </cell>
          <cell r="K58" t="str">
            <v>Crew</v>
          </cell>
          <cell r="L58" t="str">
            <v>0131307143</v>
          </cell>
          <cell r="M58">
            <v>20</v>
          </cell>
          <cell r="N58">
            <v>25</v>
          </cell>
          <cell r="O58">
            <v>2750136</v>
          </cell>
          <cell r="P58">
            <v>0</v>
          </cell>
          <cell r="Q58">
            <v>0</v>
          </cell>
          <cell r="R58">
            <v>2750136</v>
          </cell>
          <cell r="S58">
            <v>10000</v>
          </cell>
          <cell r="T58">
            <v>200000</v>
          </cell>
          <cell r="U58">
            <v>0</v>
          </cell>
          <cell r="V58">
            <v>0</v>
          </cell>
          <cell r="W58">
            <v>200000</v>
          </cell>
          <cell r="X58">
            <v>0</v>
          </cell>
          <cell r="Y58">
            <v>110005</v>
          </cell>
          <cell r="Z58">
            <v>124856</v>
          </cell>
          <cell r="AA58">
            <v>55003</v>
          </cell>
          <cell r="AC58">
            <v>3150136</v>
          </cell>
          <cell r="AD58">
            <v>27501</v>
          </cell>
          <cell r="AE58">
            <v>55003</v>
          </cell>
          <cell r="AF58">
            <v>27501</v>
          </cell>
          <cell r="AG58">
            <v>0</v>
          </cell>
          <cell r="AH58">
            <v>0</v>
          </cell>
          <cell r="AI58">
            <v>0</v>
          </cell>
        </row>
        <row r="59">
          <cell r="B59" t="str">
            <v>02-0820-532</v>
          </cell>
          <cell r="C59" t="str">
            <v>Mujayana</v>
          </cell>
          <cell r="D59" t="str">
            <v>Kontrak</v>
          </cell>
          <cell r="E59" t="str">
            <v>Aktif</v>
          </cell>
          <cell r="G59">
            <v>55</v>
          </cell>
          <cell r="H59" t="str">
            <v>Inpark Revenue</v>
          </cell>
          <cell r="I59" t="str">
            <v>Inpark Revenue Operational</v>
          </cell>
          <cell r="J59" t="str">
            <v>Inpark Revenue Operational Crew</v>
          </cell>
          <cell r="K59" t="str">
            <v>Crew</v>
          </cell>
          <cell r="L59">
            <v>4620708076</v>
          </cell>
          <cell r="M59">
            <v>21</v>
          </cell>
          <cell r="N59">
            <v>25</v>
          </cell>
          <cell r="O59">
            <v>2750136</v>
          </cell>
          <cell r="P59">
            <v>0</v>
          </cell>
          <cell r="Q59">
            <v>0</v>
          </cell>
          <cell r="R59">
            <v>2750136</v>
          </cell>
          <cell r="S59">
            <v>10000</v>
          </cell>
          <cell r="T59">
            <v>210000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110005</v>
          </cell>
          <cell r="Z59">
            <v>124856</v>
          </cell>
          <cell r="AA59">
            <v>55003</v>
          </cell>
          <cell r="AC59">
            <v>2960136</v>
          </cell>
          <cell r="AD59">
            <v>27501</v>
          </cell>
          <cell r="AE59">
            <v>55003</v>
          </cell>
          <cell r="AF59">
            <v>27501</v>
          </cell>
          <cell r="AG59">
            <v>0</v>
          </cell>
          <cell r="AH59">
            <v>0</v>
          </cell>
          <cell r="AI59">
            <v>0</v>
          </cell>
        </row>
        <row r="60">
          <cell r="B60" t="str">
            <v>02-0820-533</v>
          </cell>
          <cell r="C60" t="str">
            <v>Eni Istiani</v>
          </cell>
          <cell r="D60" t="str">
            <v>Kontrak</v>
          </cell>
          <cell r="E60" t="str">
            <v>Aktif</v>
          </cell>
          <cell r="G60">
            <v>55</v>
          </cell>
          <cell r="H60" t="str">
            <v>Inpark Revenue</v>
          </cell>
          <cell r="I60" t="str">
            <v>Inpark Revenue Operational</v>
          </cell>
          <cell r="J60" t="str">
            <v>Inpark Revenue Operational Crew</v>
          </cell>
          <cell r="K60" t="str">
            <v>Crew</v>
          </cell>
          <cell r="L60" t="str">
            <v>0131323858</v>
          </cell>
          <cell r="M60">
            <v>21</v>
          </cell>
          <cell r="N60">
            <v>25</v>
          </cell>
          <cell r="O60">
            <v>2750136</v>
          </cell>
          <cell r="P60">
            <v>0</v>
          </cell>
          <cell r="Q60">
            <v>0</v>
          </cell>
          <cell r="R60">
            <v>2750136</v>
          </cell>
          <cell r="S60">
            <v>10000</v>
          </cell>
          <cell r="T60">
            <v>210000</v>
          </cell>
          <cell r="U60">
            <v>0</v>
          </cell>
          <cell r="V60">
            <v>55639</v>
          </cell>
          <cell r="W60">
            <v>0</v>
          </cell>
          <cell r="X60">
            <v>0</v>
          </cell>
          <cell r="Y60">
            <v>110005</v>
          </cell>
          <cell r="Z60">
            <v>124856</v>
          </cell>
          <cell r="AA60">
            <v>55003</v>
          </cell>
          <cell r="AC60">
            <v>3015775</v>
          </cell>
          <cell r="AD60">
            <v>27501</v>
          </cell>
          <cell r="AE60">
            <v>55003</v>
          </cell>
          <cell r="AF60">
            <v>27501</v>
          </cell>
          <cell r="AG60">
            <v>0</v>
          </cell>
          <cell r="AH60">
            <v>0</v>
          </cell>
          <cell r="AI60">
            <v>0</v>
          </cell>
        </row>
        <row r="61">
          <cell r="B61" t="str">
            <v>02-0920-537</v>
          </cell>
          <cell r="C61" t="str">
            <v>Setiyo Hermawan</v>
          </cell>
          <cell r="D61" t="str">
            <v>Kontrak</v>
          </cell>
          <cell r="E61" t="str">
            <v>Aktif</v>
          </cell>
          <cell r="G61">
            <v>54</v>
          </cell>
          <cell r="H61" t="str">
            <v>Maintenance</v>
          </cell>
          <cell r="I61" t="str">
            <v>Maintenance</v>
          </cell>
          <cell r="J61" t="str">
            <v>ME Crew</v>
          </cell>
          <cell r="K61" t="str">
            <v>Crew</v>
          </cell>
          <cell r="L61" t="str">
            <v>0131185030</v>
          </cell>
          <cell r="M61">
            <v>22</v>
          </cell>
          <cell r="N61">
            <v>25</v>
          </cell>
          <cell r="O61">
            <v>2750136</v>
          </cell>
          <cell r="P61">
            <v>0</v>
          </cell>
          <cell r="Q61">
            <v>250000</v>
          </cell>
          <cell r="R61">
            <v>3000136</v>
          </cell>
          <cell r="S61">
            <v>10000</v>
          </cell>
          <cell r="T61">
            <v>220000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120005</v>
          </cell>
          <cell r="Z61">
            <v>136206</v>
          </cell>
          <cell r="AA61">
            <v>60003</v>
          </cell>
          <cell r="AC61">
            <v>3220136</v>
          </cell>
          <cell r="AD61">
            <v>30001</v>
          </cell>
          <cell r="AE61">
            <v>60003</v>
          </cell>
          <cell r="AF61">
            <v>30001</v>
          </cell>
          <cell r="AG61">
            <v>0</v>
          </cell>
          <cell r="AH61">
            <v>0</v>
          </cell>
          <cell r="AI61">
            <v>0</v>
          </cell>
        </row>
        <row r="62">
          <cell r="B62" t="str">
            <v>02-0920-545</v>
          </cell>
          <cell r="C62" t="str">
            <v>Shinta Oktaviana</v>
          </cell>
          <cell r="D62" t="str">
            <v>Kontrak</v>
          </cell>
          <cell r="E62" t="str">
            <v>Aktif</v>
          </cell>
          <cell r="G62">
            <v>54</v>
          </cell>
          <cell r="H62" t="str">
            <v>Operation</v>
          </cell>
          <cell r="I62" t="str">
            <v>Operation</v>
          </cell>
          <cell r="J62" t="str">
            <v>Perawat</v>
          </cell>
          <cell r="K62" t="str">
            <v>Crew</v>
          </cell>
          <cell r="L62" t="str">
            <v>3200652559</v>
          </cell>
          <cell r="M62">
            <v>19</v>
          </cell>
          <cell r="N62">
            <v>21</v>
          </cell>
          <cell r="O62">
            <v>3266432</v>
          </cell>
          <cell r="P62">
            <v>0</v>
          </cell>
          <cell r="Q62">
            <v>0</v>
          </cell>
          <cell r="R62">
            <v>3266432</v>
          </cell>
          <cell r="S62">
            <v>10000</v>
          </cell>
          <cell r="T62">
            <v>190000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130657</v>
          </cell>
          <cell r="Z62">
            <v>148296</v>
          </cell>
          <cell r="AA62">
            <v>65329</v>
          </cell>
          <cell r="AC62">
            <v>3456432</v>
          </cell>
          <cell r="AD62">
            <v>32664</v>
          </cell>
          <cell r="AE62">
            <v>65329</v>
          </cell>
          <cell r="AF62">
            <v>32664</v>
          </cell>
          <cell r="AG62">
            <v>0</v>
          </cell>
          <cell r="AH62">
            <v>0</v>
          </cell>
          <cell r="AI62">
            <v>0</v>
          </cell>
        </row>
        <row r="63">
          <cell r="B63" t="str">
            <v>02-0920-547</v>
          </cell>
          <cell r="C63" t="str">
            <v>Joko Susilo</v>
          </cell>
          <cell r="D63" t="str">
            <v>Kontrak</v>
          </cell>
          <cell r="E63" t="str">
            <v>Aktif</v>
          </cell>
          <cell r="G63">
            <v>54</v>
          </cell>
          <cell r="H63" t="str">
            <v>Operation</v>
          </cell>
          <cell r="I63" t="str">
            <v>Cleaning &amp; Security</v>
          </cell>
          <cell r="J63" t="str">
            <v>Security</v>
          </cell>
          <cell r="K63" t="str">
            <v>Crew</v>
          </cell>
          <cell r="L63" t="str">
            <v>0131450540</v>
          </cell>
          <cell r="M63">
            <v>22</v>
          </cell>
          <cell r="N63">
            <v>25</v>
          </cell>
          <cell r="O63">
            <v>2750136</v>
          </cell>
          <cell r="P63">
            <v>0</v>
          </cell>
          <cell r="Q63">
            <v>0</v>
          </cell>
          <cell r="R63">
            <v>2750136</v>
          </cell>
          <cell r="S63">
            <v>10000</v>
          </cell>
          <cell r="T63">
            <v>220000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110005</v>
          </cell>
          <cell r="Z63">
            <v>124856</v>
          </cell>
          <cell r="AA63">
            <v>55003</v>
          </cell>
          <cell r="AC63">
            <v>2970136</v>
          </cell>
          <cell r="AD63">
            <v>27501</v>
          </cell>
          <cell r="AE63">
            <v>55003</v>
          </cell>
          <cell r="AF63">
            <v>27501</v>
          </cell>
          <cell r="AG63">
            <v>0</v>
          </cell>
          <cell r="AH63">
            <v>0</v>
          </cell>
          <cell r="AI63">
            <v>0</v>
          </cell>
        </row>
        <row r="64">
          <cell r="B64" t="str">
            <v>02-0920-550</v>
          </cell>
          <cell r="C64" t="str">
            <v>Iwan Setyawan</v>
          </cell>
          <cell r="D64" t="str">
            <v>Kontrak</v>
          </cell>
          <cell r="E64" t="str">
            <v>Aktif</v>
          </cell>
          <cell r="G64">
            <v>54</v>
          </cell>
          <cell r="H64" t="str">
            <v>Operation</v>
          </cell>
          <cell r="I64" t="str">
            <v>Cleaning &amp; Security</v>
          </cell>
          <cell r="J64" t="str">
            <v>Security Team Leader</v>
          </cell>
          <cell r="K64" t="str">
            <v>Crew</v>
          </cell>
          <cell r="L64" t="str">
            <v>0131450850</v>
          </cell>
          <cell r="M64">
            <v>22</v>
          </cell>
          <cell r="N64">
            <v>25</v>
          </cell>
          <cell r="O64">
            <v>2917967</v>
          </cell>
          <cell r="P64">
            <v>0</v>
          </cell>
          <cell r="Q64">
            <v>0</v>
          </cell>
          <cell r="R64">
            <v>2917967</v>
          </cell>
          <cell r="S64">
            <v>10000</v>
          </cell>
          <cell r="T64">
            <v>220000</v>
          </cell>
          <cell r="U64">
            <v>0</v>
          </cell>
          <cell r="V64">
            <v>0</v>
          </cell>
          <cell r="W64">
            <v>200000</v>
          </cell>
          <cell r="X64">
            <v>0</v>
          </cell>
          <cell r="Y64">
            <v>116719</v>
          </cell>
          <cell r="Z64">
            <v>132476</v>
          </cell>
          <cell r="AA64">
            <v>58359</v>
          </cell>
          <cell r="AC64">
            <v>3337967</v>
          </cell>
          <cell r="AD64">
            <v>29180</v>
          </cell>
          <cell r="AE64">
            <v>58359</v>
          </cell>
          <cell r="AF64">
            <v>29180</v>
          </cell>
          <cell r="AG64">
            <v>0</v>
          </cell>
          <cell r="AH64">
            <v>0</v>
          </cell>
          <cell r="AI64">
            <v>0</v>
          </cell>
        </row>
        <row r="65">
          <cell r="B65" t="str">
            <v>02-0920-551</v>
          </cell>
          <cell r="C65" t="str">
            <v>Gundari</v>
          </cell>
          <cell r="D65" t="str">
            <v>Kontrak</v>
          </cell>
          <cell r="E65" t="str">
            <v>Aktif</v>
          </cell>
          <cell r="G65">
            <v>54</v>
          </cell>
          <cell r="H65" t="str">
            <v>Operation</v>
          </cell>
          <cell r="I65" t="str">
            <v>Cleaning &amp; Security</v>
          </cell>
          <cell r="J65" t="str">
            <v>Wakil Danru Security</v>
          </cell>
          <cell r="K65" t="str">
            <v>Crew</v>
          </cell>
          <cell r="L65" t="str">
            <v>3200750151</v>
          </cell>
          <cell r="M65">
            <v>22</v>
          </cell>
          <cell r="N65">
            <v>25</v>
          </cell>
          <cell r="O65">
            <v>2808680</v>
          </cell>
          <cell r="P65">
            <v>0</v>
          </cell>
          <cell r="Q65">
            <v>0</v>
          </cell>
          <cell r="R65">
            <v>2808680</v>
          </cell>
          <cell r="S65">
            <v>10000</v>
          </cell>
          <cell r="T65">
            <v>220000</v>
          </cell>
          <cell r="U65">
            <v>0</v>
          </cell>
          <cell r="V65">
            <v>56823</v>
          </cell>
          <cell r="W65">
            <v>0</v>
          </cell>
          <cell r="X65">
            <v>0</v>
          </cell>
          <cell r="Y65">
            <v>112347</v>
          </cell>
          <cell r="Z65">
            <v>127514</v>
          </cell>
          <cell r="AA65">
            <v>56174</v>
          </cell>
          <cell r="AC65">
            <v>3085503</v>
          </cell>
          <cell r="AD65">
            <v>28087</v>
          </cell>
          <cell r="AE65">
            <v>56174</v>
          </cell>
          <cell r="AF65">
            <v>28087</v>
          </cell>
          <cell r="AG65">
            <v>0</v>
          </cell>
          <cell r="AH65">
            <v>0</v>
          </cell>
          <cell r="AI65">
            <v>0</v>
          </cell>
        </row>
        <row r="66">
          <cell r="B66" t="str">
            <v>02-0920-552</v>
          </cell>
          <cell r="C66" t="str">
            <v>Sungkowo Lilik Gian</v>
          </cell>
          <cell r="D66" t="str">
            <v>Kontrak</v>
          </cell>
          <cell r="E66" t="str">
            <v>Aktif</v>
          </cell>
          <cell r="G66">
            <v>54</v>
          </cell>
          <cell r="H66" t="str">
            <v>Operation</v>
          </cell>
          <cell r="I66" t="str">
            <v>Cleaning &amp; Security</v>
          </cell>
          <cell r="J66" t="str">
            <v>Security</v>
          </cell>
          <cell r="K66" t="str">
            <v>Crew</v>
          </cell>
          <cell r="L66" t="str">
            <v>0131449142</v>
          </cell>
          <cell r="M66">
            <v>20</v>
          </cell>
          <cell r="N66">
            <v>25</v>
          </cell>
          <cell r="O66">
            <v>2750136</v>
          </cell>
          <cell r="P66">
            <v>0</v>
          </cell>
          <cell r="Q66">
            <v>0</v>
          </cell>
          <cell r="R66">
            <v>2750136</v>
          </cell>
          <cell r="S66">
            <v>10000</v>
          </cell>
          <cell r="T66">
            <v>200000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110005</v>
          </cell>
          <cell r="Z66">
            <v>124856</v>
          </cell>
          <cell r="AA66">
            <v>55003</v>
          </cell>
          <cell r="AC66">
            <v>2950136</v>
          </cell>
          <cell r="AD66">
            <v>27501</v>
          </cell>
          <cell r="AE66">
            <v>55003</v>
          </cell>
          <cell r="AF66">
            <v>27501</v>
          </cell>
          <cell r="AG66">
            <v>0</v>
          </cell>
          <cell r="AH66">
            <v>0</v>
          </cell>
          <cell r="AI66">
            <v>0</v>
          </cell>
        </row>
        <row r="67">
          <cell r="B67" t="str">
            <v>02-0920-553</v>
          </cell>
          <cell r="C67" t="str">
            <v>Muh Sabar</v>
          </cell>
          <cell r="D67" t="str">
            <v>Kontrak</v>
          </cell>
          <cell r="E67" t="str">
            <v>Aktif</v>
          </cell>
          <cell r="G67">
            <v>54</v>
          </cell>
          <cell r="H67" t="str">
            <v>Operation</v>
          </cell>
          <cell r="I67" t="str">
            <v>Cleaning &amp; Security</v>
          </cell>
          <cell r="J67" t="str">
            <v>Security Team Leader</v>
          </cell>
          <cell r="K67" t="str">
            <v>Crew</v>
          </cell>
          <cell r="L67" t="str">
            <v>0131447778</v>
          </cell>
          <cell r="M67">
            <v>20</v>
          </cell>
          <cell r="N67">
            <v>25</v>
          </cell>
          <cell r="O67">
            <v>2917967</v>
          </cell>
          <cell r="P67">
            <v>0</v>
          </cell>
          <cell r="Q67">
            <v>0</v>
          </cell>
          <cell r="R67">
            <v>2917967</v>
          </cell>
          <cell r="S67">
            <v>10000</v>
          </cell>
          <cell r="T67">
            <v>200000</v>
          </cell>
          <cell r="U67">
            <v>0</v>
          </cell>
          <cell r="V67">
            <v>0</v>
          </cell>
          <cell r="W67">
            <v>200000</v>
          </cell>
          <cell r="X67">
            <v>0</v>
          </cell>
          <cell r="Y67">
            <v>116719</v>
          </cell>
          <cell r="Z67">
            <v>132476</v>
          </cell>
          <cell r="AA67">
            <v>58359</v>
          </cell>
          <cell r="AC67">
            <v>3317967</v>
          </cell>
          <cell r="AD67">
            <v>29180</v>
          </cell>
          <cell r="AE67">
            <v>58359</v>
          </cell>
          <cell r="AF67">
            <v>29180</v>
          </cell>
          <cell r="AG67">
            <v>0</v>
          </cell>
          <cell r="AH67">
            <v>0</v>
          </cell>
          <cell r="AI67">
            <v>0</v>
          </cell>
        </row>
        <row r="68">
          <cell r="B68" t="str">
            <v>02-0920-554</v>
          </cell>
          <cell r="C68" t="str">
            <v>Arif Wahyudin</v>
          </cell>
          <cell r="D68" t="str">
            <v>Kontrak</v>
          </cell>
          <cell r="E68" t="str">
            <v>Aktif</v>
          </cell>
          <cell r="G68">
            <v>54</v>
          </cell>
          <cell r="H68" t="str">
            <v>Operation</v>
          </cell>
          <cell r="I68" t="str">
            <v>Cleaning &amp; Security</v>
          </cell>
          <cell r="J68" t="str">
            <v>Wakil Danru Security</v>
          </cell>
          <cell r="K68" t="str">
            <v>Crew</v>
          </cell>
          <cell r="L68" t="str">
            <v>0131452259</v>
          </cell>
          <cell r="M68">
            <v>21</v>
          </cell>
          <cell r="N68">
            <v>25</v>
          </cell>
          <cell r="O68">
            <v>2808680</v>
          </cell>
          <cell r="P68">
            <v>0</v>
          </cell>
          <cell r="Q68">
            <v>0</v>
          </cell>
          <cell r="R68">
            <v>2808680</v>
          </cell>
          <cell r="S68">
            <v>10000</v>
          </cell>
          <cell r="T68">
            <v>210000</v>
          </cell>
          <cell r="U68">
            <v>0</v>
          </cell>
          <cell r="V68">
            <v>56823</v>
          </cell>
          <cell r="W68">
            <v>0</v>
          </cell>
          <cell r="X68">
            <v>0</v>
          </cell>
          <cell r="Y68">
            <v>112347</v>
          </cell>
          <cell r="Z68">
            <v>127514</v>
          </cell>
          <cell r="AA68">
            <v>56174</v>
          </cell>
          <cell r="AC68">
            <v>3075503</v>
          </cell>
          <cell r="AD68">
            <v>28087</v>
          </cell>
          <cell r="AE68">
            <v>56174</v>
          </cell>
          <cell r="AF68">
            <v>28087</v>
          </cell>
          <cell r="AG68">
            <v>0</v>
          </cell>
          <cell r="AH68">
            <v>0</v>
          </cell>
          <cell r="AI68">
            <v>0</v>
          </cell>
        </row>
        <row r="69">
          <cell r="B69" t="str">
            <v>02-0920-556</v>
          </cell>
          <cell r="C69" t="str">
            <v>Nur Rohmat</v>
          </cell>
          <cell r="D69" t="str">
            <v>Kontrak</v>
          </cell>
          <cell r="E69" t="str">
            <v>Aktif</v>
          </cell>
          <cell r="G69">
            <v>54</v>
          </cell>
          <cell r="H69" t="str">
            <v>Operation</v>
          </cell>
          <cell r="I69" t="str">
            <v>Cleaning &amp; Security</v>
          </cell>
          <cell r="J69" t="str">
            <v>Wakil Danru Security</v>
          </cell>
          <cell r="K69" t="str">
            <v>Crew</v>
          </cell>
          <cell r="L69" t="str">
            <v>0131448774</v>
          </cell>
          <cell r="M69">
            <v>20</v>
          </cell>
          <cell r="N69">
            <v>25</v>
          </cell>
          <cell r="O69">
            <v>2808680</v>
          </cell>
          <cell r="P69">
            <v>0</v>
          </cell>
          <cell r="Q69">
            <v>0</v>
          </cell>
          <cell r="R69">
            <v>2808680</v>
          </cell>
          <cell r="S69">
            <v>10000</v>
          </cell>
          <cell r="T69">
            <v>200000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112347</v>
          </cell>
          <cell r="Z69">
            <v>127514</v>
          </cell>
          <cell r="AA69">
            <v>56174</v>
          </cell>
          <cell r="AC69">
            <v>3008680</v>
          </cell>
          <cell r="AD69">
            <v>28087</v>
          </cell>
          <cell r="AE69">
            <v>56174</v>
          </cell>
          <cell r="AF69">
            <v>28087</v>
          </cell>
          <cell r="AG69">
            <v>0</v>
          </cell>
          <cell r="AH69">
            <v>0</v>
          </cell>
          <cell r="AI69">
            <v>0</v>
          </cell>
        </row>
        <row r="70">
          <cell r="B70" t="str">
            <v>02-0920-557</v>
          </cell>
          <cell r="C70" t="str">
            <v>Diah Kristiani</v>
          </cell>
          <cell r="D70" t="str">
            <v>Kontrak</v>
          </cell>
          <cell r="E70" t="str">
            <v>Aktif</v>
          </cell>
          <cell r="G70">
            <v>54</v>
          </cell>
          <cell r="H70" t="str">
            <v>Operation</v>
          </cell>
          <cell r="I70" t="str">
            <v>Cleaning &amp; Security</v>
          </cell>
          <cell r="J70" t="str">
            <v>Security</v>
          </cell>
          <cell r="K70" t="str">
            <v>Crew</v>
          </cell>
          <cell r="L70" t="str">
            <v>0131951531</v>
          </cell>
          <cell r="M70">
            <v>21</v>
          </cell>
          <cell r="N70">
            <v>25</v>
          </cell>
          <cell r="O70">
            <v>2750136</v>
          </cell>
          <cell r="P70">
            <v>0</v>
          </cell>
          <cell r="Q70">
            <v>0</v>
          </cell>
          <cell r="R70">
            <v>2750136</v>
          </cell>
          <cell r="S70">
            <v>10000</v>
          </cell>
          <cell r="T70">
            <v>210000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110005</v>
          </cell>
          <cell r="Z70">
            <v>124856</v>
          </cell>
          <cell r="AA70">
            <v>55003</v>
          </cell>
          <cell r="AC70">
            <v>2960136</v>
          </cell>
          <cell r="AD70">
            <v>27501</v>
          </cell>
          <cell r="AE70">
            <v>55003</v>
          </cell>
          <cell r="AF70">
            <v>27501</v>
          </cell>
          <cell r="AG70">
            <v>0</v>
          </cell>
          <cell r="AH70">
            <v>0</v>
          </cell>
          <cell r="AI70">
            <v>0</v>
          </cell>
        </row>
        <row r="71">
          <cell r="B71" t="str">
            <v>02-0920-559</v>
          </cell>
          <cell r="C71" t="str">
            <v>Putut Puji Widodo</v>
          </cell>
          <cell r="D71" t="str">
            <v>Kontrak</v>
          </cell>
          <cell r="E71" t="str">
            <v>Aktif</v>
          </cell>
          <cell r="G71">
            <v>54</v>
          </cell>
          <cell r="H71" t="str">
            <v>Operation</v>
          </cell>
          <cell r="I71" t="str">
            <v>Cleaning &amp; Security</v>
          </cell>
          <cell r="J71" t="str">
            <v>Security</v>
          </cell>
          <cell r="K71" t="str">
            <v>Crew</v>
          </cell>
          <cell r="L71" t="str">
            <v>3200748947</v>
          </cell>
          <cell r="M71">
            <v>21</v>
          </cell>
          <cell r="N71">
            <v>25</v>
          </cell>
          <cell r="O71">
            <v>2750136</v>
          </cell>
          <cell r="P71">
            <v>0</v>
          </cell>
          <cell r="Q71">
            <v>0</v>
          </cell>
          <cell r="R71">
            <v>2750136</v>
          </cell>
          <cell r="S71">
            <v>10000</v>
          </cell>
          <cell r="T71">
            <v>210000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110005</v>
          </cell>
          <cell r="Z71">
            <v>124856</v>
          </cell>
          <cell r="AA71">
            <v>55003</v>
          </cell>
          <cell r="AC71">
            <v>2960136</v>
          </cell>
          <cell r="AD71">
            <v>27501</v>
          </cell>
          <cell r="AE71">
            <v>55003</v>
          </cell>
          <cell r="AF71">
            <v>27501</v>
          </cell>
          <cell r="AG71">
            <v>0</v>
          </cell>
          <cell r="AH71">
            <v>0</v>
          </cell>
          <cell r="AI71">
            <v>0</v>
          </cell>
        </row>
        <row r="72">
          <cell r="B72" t="str">
            <v>02-0920-560</v>
          </cell>
          <cell r="C72" t="str">
            <v>M. Rohadi</v>
          </cell>
          <cell r="D72" t="str">
            <v>Kontrak</v>
          </cell>
          <cell r="E72" t="str">
            <v>Aktif</v>
          </cell>
          <cell r="G72">
            <v>54</v>
          </cell>
          <cell r="H72" t="str">
            <v>Operation</v>
          </cell>
          <cell r="I72" t="str">
            <v>Cleaning &amp; Security</v>
          </cell>
          <cell r="J72" t="str">
            <v>Security</v>
          </cell>
          <cell r="K72" t="str">
            <v>Crew</v>
          </cell>
          <cell r="L72" t="str">
            <v>0131452356</v>
          </cell>
          <cell r="M72">
            <v>21</v>
          </cell>
          <cell r="N72">
            <v>25</v>
          </cell>
          <cell r="O72">
            <v>2750136</v>
          </cell>
          <cell r="P72">
            <v>0</v>
          </cell>
          <cell r="Q72">
            <v>0</v>
          </cell>
          <cell r="R72">
            <v>2750136</v>
          </cell>
          <cell r="S72">
            <v>10000</v>
          </cell>
          <cell r="T72">
            <v>210000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110005</v>
          </cell>
          <cell r="Z72">
            <v>124856</v>
          </cell>
          <cell r="AA72">
            <v>55003</v>
          </cell>
          <cell r="AC72">
            <v>2960136</v>
          </cell>
          <cell r="AD72">
            <v>27501</v>
          </cell>
          <cell r="AE72">
            <v>55003</v>
          </cell>
          <cell r="AF72">
            <v>27501</v>
          </cell>
          <cell r="AG72">
            <v>0</v>
          </cell>
          <cell r="AH72">
            <v>0</v>
          </cell>
          <cell r="AI72">
            <v>0</v>
          </cell>
        </row>
        <row r="73">
          <cell r="B73" t="str">
            <v>02-0920-562</v>
          </cell>
          <cell r="C73" t="str">
            <v>Juweni</v>
          </cell>
          <cell r="D73" t="str">
            <v>Kontrak</v>
          </cell>
          <cell r="E73" t="str">
            <v>Aktif</v>
          </cell>
          <cell r="G73">
            <v>54</v>
          </cell>
          <cell r="H73" t="str">
            <v>Operation</v>
          </cell>
          <cell r="I73" t="str">
            <v>Cleaning &amp; Security</v>
          </cell>
          <cell r="J73" t="str">
            <v>Security</v>
          </cell>
          <cell r="K73" t="str">
            <v>Crew</v>
          </cell>
          <cell r="L73" t="str">
            <v>0131450531</v>
          </cell>
          <cell r="M73">
            <v>22</v>
          </cell>
          <cell r="N73">
            <v>25</v>
          </cell>
          <cell r="O73">
            <v>2750136</v>
          </cell>
          <cell r="P73">
            <v>0</v>
          </cell>
          <cell r="Q73">
            <v>0</v>
          </cell>
          <cell r="R73">
            <v>2750136</v>
          </cell>
          <cell r="S73">
            <v>10000</v>
          </cell>
          <cell r="T73">
            <v>220000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110005</v>
          </cell>
          <cell r="Z73">
            <v>124856</v>
          </cell>
          <cell r="AA73">
            <v>55003</v>
          </cell>
          <cell r="AC73">
            <v>2970136</v>
          </cell>
          <cell r="AD73">
            <v>27501</v>
          </cell>
          <cell r="AE73">
            <v>55003</v>
          </cell>
          <cell r="AF73">
            <v>27501</v>
          </cell>
          <cell r="AG73">
            <v>0</v>
          </cell>
          <cell r="AH73">
            <v>0</v>
          </cell>
          <cell r="AI73">
            <v>0</v>
          </cell>
        </row>
        <row r="74">
          <cell r="B74" t="str">
            <v>02-0920-566</v>
          </cell>
          <cell r="C74" t="str">
            <v>Suhudi</v>
          </cell>
          <cell r="D74" t="str">
            <v>Kontrak</v>
          </cell>
          <cell r="E74" t="str">
            <v>Aktif</v>
          </cell>
          <cell r="G74">
            <v>54</v>
          </cell>
          <cell r="H74" t="str">
            <v>Operation</v>
          </cell>
          <cell r="I74" t="str">
            <v>Cleaning &amp; Security</v>
          </cell>
          <cell r="J74" t="str">
            <v>Security</v>
          </cell>
          <cell r="K74" t="str">
            <v>Crew</v>
          </cell>
          <cell r="L74" t="str">
            <v>3200750003</v>
          </cell>
          <cell r="M74">
            <v>21</v>
          </cell>
          <cell r="N74">
            <v>25</v>
          </cell>
          <cell r="O74">
            <v>2750136</v>
          </cell>
          <cell r="P74">
            <v>0</v>
          </cell>
          <cell r="Q74">
            <v>0</v>
          </cell>
          <cell r="R74">
            <v>2750136</v>
          </cell>
          <cell r="S74">
            <v>10000</v>
          </cell>
          <cell r="T74">
            <v>210000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110005</v>
          </cell>
          <cell r="Z74">
            <v>124856</v>
          </cell>
          <cell r="AA74">
            <v>55003</v>
          </cell>
          <cell r="AC74">
            <v>2960136</v>
          </cell>
          <cell r="AD74">
            <v>27501</v>
          </cell>
          <cell r="AE74">
            <v>55003</v>
          </cell>
          <cell r="AF74">
            <v>27501</v>
          </cell>
          <cell r="AG74">
            <v>0</v>
          </cell>
          <cell r="AH74">
            <v>0</v>
          </cell>
          <cell r="AI74">
            <v>0</v>
          </cell>
        </row>
        <row r="75">
          <cell r="B75" t="str">
            <v>02-0920-568</v>
          </cell>
          <cell r="C75" t="str">
            <v>Joko Santoso</v>
          </cell>
          <cell r="D75" t="str">
            <v>Kontrak</v>
          </cell>
          <cell r="E75" t="str">
            <v>Aktif</v>
          </cell>
          <cell r="G75">
            <v>54</v>
          </cell>
          <cell r="H75" t="str">
            <v>Operation</v>
          </cell>
          <cell r="I75" t="str">
            <v>Cleaning &amp; Security</v>
          </cell>
          <cell r="J75" t="str">
            <v>Security</v>
          </cell>
          <cell r="K75" t="str">
            <v>Crew</v>
          </cell>
          <cell r="L75" t="str">
            <v>3200749374</v>
          </cell>
          <cell r="M75">
            <v>21</v>
          </cell>
          <cell r="N75">
            <v>25</v>
          </cell>
          <cell r="O75">
            <v>2750136</v>
          </cell>
          <cell r="P75">
            <v>0</v>
          </cell>
          <cell r="Q75">
            <v>0</v>
          </cell>
          <cell r="R75">
            <v>2750136</v>
          </cell>
          <cell r="S75">
            <v>10000</v>
          </cell>
          <cell r="T75">
            <v>210000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110005</v>
          </cell>
          <cell r="Z75">
            <v>124856</v>
          </cell>
          <cell r="AA75">
            <v>55003</v>
          </cell>
          <cell r="AC75">
            <v>2960136</v>
          </cell>
          <cell r="AD75">
            <v>27501</v>
          </cell>
          <cell r="AE75">
            <v>55003</v>
          </cell>
          <cell r="AF75">
            <v>27501</v>
          </cell>
          <cell r="AG75">
            <v>0</v>
          </cell>
          <cell r="AH75">
            <v>0</v>
          </cell>
          <cell r="AI75">
            <v>0</v>
          </cell>
        </row>
        <row r="76">
          <cell r="B76" t="str">
            <v>02-0920-570</v>
          </cell>
          <cell r="C76" t="str">
            <v>Arif Rahmanto</v>
          </cell>
          <cell r="D76" t="str">
            <v>Kontrak</v>
          </cell>
          <cell r="E76" t="str">
            <v>Aktif</v>
          </cell>
          <cell r="G76">
            <v>54</v>
          </cell>
          <cell r="H76" t="str">
            <v>Maintenance</v>
          </cell>
          <cell r="I76" t="str">
            <v>Maintenance</v>
          </cell>
          <cell r="J76" t="str">
            <v>ME Crew</v>
          </cell>
          <cell r="K76" t="str">
            <v>Crew</v>
          </cell>
          <cell r="L76" t="str">
            <v>0131199502</v>
          </cell>
          <cell r="M76">
            <v>20</v>
          </cell>
          <cell r="N76">
            <v>25</v>
          </cell>
          <cell r="O76">
            <v>2750136</v>
          </cell>
          <cell r="P76">
            <v>0</v>
          </cell>
          <cell r="Q76">
            <v>250000</v>
          </cell>
          <cell r="R76">
            <v>3000136</v>
          </cell>
          <cell r="S76">
            <v>10000</v>
          </cell>
          <cell r="T76">
            <v>200000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120005</v>
          </cell>
          <cell r="Z76">
            <v>136206</v>
          </cell>
          <cell r="AA76">
            <v>60003</v>
          </cell>
          <cell r="AC76">
            <v>3200136</v>
          </cell>
          <cell r="AD76">
            <v>30001</v>
          </cell>
          <cell r="AE76">
            <v>60003</v>
          </cell>
          <cell r="AF76">
            <v>30001</v>
          </cell>
          <cell r="AG76">
            <v>0</v>
          </cell>
          <cell r="AH76">
            <v>0</v>
          </cell>
          <cell r="AI76">
            <v>0</v>
          </cell>
        </row>
        <row r="77">
          <cell r="B77" t="str">
            <v>02-1020-571</v>
          </cell>
          <cell r="C77" t="str">
            <v>Desi Ramadina</v>
          </cell>
          <cell r="D77" t="str">
            <v>Kontrak</v>
          </cell>
          <cell r="E77" t="str">
            <v>Aktif</v>
          </cell>
          <cell r="G77">
            <v>53</v>
          </cell>
          <cell r="H77" t="str">
            <v>IT</v>
          </cell>
          <cell r="I77" t="str">
            <v>Infrastructure &amp; Network</v>
          </cell>
          <cell r="J77" t="str">
            <v>IT Helpdesk</v>
          </cell>
          <cell r="K77" t="str">
            <v>Crew</v>
          </cell>
          <cell r="L77" t="str">
            <v>0131458869</v>
          </cell>
          <cell r="M77">
            <v>18</v>
          </cell>
          <cell r="N77">
            <v>21</v>
          </cell>
          <cell r="O77">
            <v>2917967</v>
          </cell>
          <cell r="P77">
            <v>0</v>
          </cell>
          <cell r="Q77">
            <v>0</v>
          </cell>
          <cell r="R77">
            <v>2917967</v>
          </cell>
          <cell r="S77">
            <v>10000</v>
          </cell>
          <cell r="T77">
            <v>180000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116719</v>
          </cell>
          <cell r="Z77">
            <v>132476</v>
          </cell>
          <cell r="AA77">
            <v>58359</v>
          </cell>
          <cell r="AC77">
            <v>3097967</v>
          </cell>
          <cell r="AD77">
            <v>29180</v>
          </cell>
          <cell r="AE77">
            <v>58359</v>
          </cell>
          <cell r="AF77">
            <v>29180</v>
          </cell>
          <cell r="AG77">
            <v>0</v>
          </cell>
          <cell r="AH77">
            <v>0</v>
          </cell>
          <cell r="AI77">
            <v>0</v>
          </cell>
        </row>
        <row r="78">
          <cell r="B78" t="str">
            <v>02-1020-575</v>
          </cell>
          <cell r="C78" t="str">
            <v>Ahmad Khoirul Anam</v>
          </cell>
          <cell r="D78" t="str">
            <v>Kontrak</v>
          </cell>
          <cell r="E78" t="str">
            <v>Aktif</v>
          </cell>
          <cell r="G78">
            <v>53</v>
          </cell>
          <cell r="H78" t="str">
            <v>Maintenance</v>
          </cell>
          <cell r="I78" t="str">
            <v>Maintenance</v>
          </cell>
          <cell r="J78" t="str">
            <v>Ride Officer</v>
          </cell>
          <cell r="K78" t="str">
            <v>Officer</v>
          </cell>
          <cell r="L78" t="str">
            <v>0131200462</v>
          </cell>
          <cell r="M78">
            <v>21</v>
          </cell>
          <cell r="N78">
            <v>25</v>
          </cell>
          <cell r="O78">
            <v>3759500</v>
          </cell>
          <cell r="P78">
            <v>500000</v>
          </cell>
          <cell r="Q78">
            <v>300000</v>
          </cell>
          <cell r="R78">
            <v>4559500</v>
          </cell>
          <cell r="S78">
            <v>11900</v>
          </cell>
          <cell r="T78">
            <v>249900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182380</v>
          </cell>
          <cell r="Z78">
            <v>207001</v>
          </cell>
          <cell r="AA78">
            <v>91190</v>
          </cell>
          <cell r="AC78">
            <v>4809400</v>
          </cell>
          <cell r="AD78">
            <v>45595</v>
          </cell>
          <cell r="AE78">
            <v>91190</v>
          </cell>
          <cell r="AF78">
            <v>45595</v>
          </cell>
          <cell r="AG78">
            <v>0</v>
          </cell>
          <cell r="AH78">
            <v>0</v>
          </cell>
          <cell r="AI78">
            <v>0</v>
          </cell>
        </row>
        <row r="79">
          <cell r="B79" t="str">
            <v>02-1020-576</v>
          </cell>
          <cell r="C79" t="str">
            <v>Redi Setiyawan</v>
          </cell>
          <cell r="D79" t="str">
            <v>Kontrak</v>
          </cell>
          <cell r="E79" t="str">
            <v>Aktif</v>
          </cell>
          <cell r="G79">
            <v>53</v>
          </cell>
          <cell r="H79" t="str">
            <v>Operation</v>
          </cell>
          <cell r="I79" t="str">
            <v>Operation</v>
          </cell>
          <cell r="J79" t="str">
            <v>Operation Crew</v>
          </cell>
          <cell r="K79" t="str">
            <v>Crew</v>
          </cell>
          <cell r="L79" t="str">
            <v>0131262930</v>
          </cell>
          <cell r="M79">
            <v>21</v>
          </cell>
          <cell r="N79">
            <v>25</v>
          </cell>
          <cell r="O79">
            <v>2750136</v>
          </cell>
          <cell r="P79">
            <v>0</v>
          </cell>
          <cell r="Q79">
            <v>0</v>
          </cell>
          <cell r="R79">
            <v>2750136</v>
          </cell>
          <cell r="S79">
            <v>10000</v>
          </cell>
          <cell r="T79">
            <v>210000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110005</v>
          </cell>
          <cell r="Z79">
            <v>124856</v>
          </cell>
          <cell r="AA79">
            <v>55003</v>
          </cell>
          <cell r="AC79">
            <v>2960136</v>
          </cell>
          <cell r="AD79">
            <v>27501</v>
          </cell>
          <cell r="AE79">
            <v>55003</v>
          </cell>
          <cell r="AF79">
            <v>27501</v>
          </cell>
          <cell r="AG79">
            <v>0</v>
          </cell>
          <cell r="AH79">
            <v>0</v>
          </cell>
          <cell r="AI79">
            <v>0</v>
          </cell>
        </row>
        <row r="80">
          <cell r="B80" t="str">
            <v>02-1120-578</v>
          </cell>
          <cell r="C80" t="str">
            <v>Steven Eranda</v>
          </cell>
          <cell r="D80" t="str">
            <v>Kontrak</v>
          </cell>
          <cell r="E80" t="str">
            <v>Aktif</v>
          </cell>
          <cell r="G80">
            <v>52</v>
          </cell>
          <cell r="H80" t="str">
            <v>Operation</v>
          </cell>
          <cell r="I80" t="str">
            <v>Operation</v>
          </cell>
          <cell r="J80" t="str">
            <v>Operation Crew</v>
          </cell>
          <cell r="K80" t="str">
            <v>Crew</v>
          </cell>
          <cell r="L80" t="str">
            <v>3200685198</v>
          </cell>
          <cell r="M80">
            <v>21</v>
          </cell>
          <cell r="N80">
            <v>25</v>
          </cell>
          <cell r="O80">
            <v>2750136</v>
          </cell>
          <cell r="P80">
            <v>0</v>
          </cell>
          <cell r="Q80">
            <v>0</v>
          </cell>
          <cell r="R80">
            <v>2750136</v>
          </cell>
          <cell r="S80">
            <v>10000</v>
          </cell>
          <cell r="T80">
            <v>210000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110005</v>
          </cell>
          <cell r="Z80">
            <v>124856</v>
          </cell>
          <cell r="AA80">
            <v>55003</v>
          </cell>
          <cell r="AC80">
            <v>2960136</v>
          </cell>
          <cell r="AD80">
            <v>27501</v>
          </cell>
          <cell r="AE80">
            <v>55003</v>
          </cell>
          <cell r="AF80">
            <v>27501</v>
          </cell>
          <cell r="AG80">
            <v>0</v>
          </cell>
          <cell r="AH80">
            <v>0</v>
          </cell>
          <cell r="AI80">
            <v>0</v>
          </cell>
        </row>
        <row r="81">
          <cell r="B81" t="str">
            <v>02-1120-579</v>
          </cell>
          <cell r="C81" t="str">
            <v>Riyanto</v>
          </cell>
          <cell r="D81" t="str">
            <v>Tetap</v>
          </cell>
          <cell r="E81" t="str">
            <v>Aktif</v>
          </cell>
          <cell r="G81">
            <v>52</v>
          </cell>
          <cell r="H81" t="str">
            <v>Maintenance</v>
          </cell>
          <cell r="I81" t="str">
            <v>Maintenance</v>
          </cell>
          <cell r="J81" t="str">
            <v>ME Team Leader</v>
          </cell>
          <cell r="K81" t="str">
            <v>Crew</v>
          </cell>
          <cell r="L81" t="str">
            <v>0131203861</v>
          </cell>
          <cell r="M81">
            <v>20</v>
          </cell>
          <cell r="N81">
            <v>25</v>
          </cell>
          <cell r="O81">
            <v>2833969</v>
          </cell>
          <cell r="P81">
            <v>0</v>
          </cell>
          <cell r="Q81">
            <v>250000</v>
          </cell>
          <cell r="R81">
            <v>3083969</v>
          </cell>
          <cell r="S81">
            <v>10000</v>
          </cell>
          <cell r="T81">
            <v>200000</v>
          </cell>
          <cell r="U81">
            <v>0</v>
          </cell>
          <cell r="V81">
            <v>0</v>
          </cell>
          <cell r="W81">
            <v>200000</v>
          </cell>
          <cell r="X81">
            <v>0</v>
          </cell>
          <cell r="Y81">
            <v>123359</v>
          </cell>
          <cell r="Z81">
            <v>140012</v>
          </cell>
          <cell r="AA81">
            <v>61679</v>
          </cell>
          <cell r="AC81">
            <v>3483969</v>
          </cell>
          <cell r="AD81">
            <v>30840</v>
          </cell>
          <cell r="AE81">
            <v>61679</v>
          </cell>
          <cell r="AF81">
            <v>30840</v>
          </cell>
          <cell r="AG81">
            <v>0</v>
          </cell>
          <cell r="AH81">
            <v>0</v>
          </cell>
          <cell r="AI81">
            <v>0</v>
          </cell>
        </row>
        <row r="82">
          <cell r="B82" t="str">
            <v>02-1120-581</v>
          </cell>
          <cell r="C82" t="str">
            <v>Alvin Sahana</v>
          </cell>
          <cell r="D82" t="str">
            <v>Kontrak</v>
          </cell>
          <cell r="E82" t="str">
            <v>Aktif</v>
          </cell>
          <cell r="G82">
            <v>52</v>
          </cell>
          <cell r="H82" t="str">
            <v>Maintenance</v>
          </cell>
          <cell r="I82" t="str">
            <v>Maintenance</v>
          </cell>
          <cell r="J82" t="str">
            <v>ME Crew</v>
          </cell>
          <cell r="K82" t="str">
            <v>Crew</v>
          </cell>
          <cell r="L82" t="str">
            <v>0131206321</v>
          </cell>
          <cell r="M82">
            <v>21</v>
          </cell>
          <cell r="N82">
            <v>25</v>
          </cell>
          <cell r="O82">
            <v>2750136</v>
          </cell>
          <cell r="P82">
            <v>0</v>
          </cell>
          <cell r="Q82">
            <v>250000</v>
          </cell>
          <cell r="R82">
            <v>3000136</v>
          </cell>
          <cell r="S82">
            <v>10000</v>
          </cell>
          <cell r="T82">
            <v>210000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120005</v>
          </cell>
          <cell r="Z82">
            <v>136206</v>
          </cell>
          <cell r="AA82">
            <v>60003</v>
          </cell>
          <cell r="AC82">
            <v>3210136</v>
          </cell>
          <cell r="AD82">
            <v>30001</v>
          </cell>
          <cell r="AE82">
            <v>60003</v>
          </cell>
          <cell r="AF82">
            <v>30001</v>
          </cell>
          <cell r="AG82">
            <v>0</v>
          </cell>
          <cell r="AH82">
            <v>0</v>
          </cell>
          <cell r="AI82">
            <v>0</v>
          </cell>
        </row>
        <row r="83">
          <cell r="B83" t="str">
            <v>02-1220-586</v>
          </cell>
          <cell r="C83" t="str">
            <v>Agung Prasetyo</v>
          </cell>
          <cell r="D83" t="str">
            <v>Tetap</v>
          </cell>
          <cell r="E83" t="str">
            <v>Aktif</v>
          </cell>
          <cell r="G83">
            <v>51</v>
          </cell>
          <cell r="H83" t="str">
            <v>IT</v>
          </cell>
          <cell r="I83" t="str">
            <v>Aplikasi &amp; System</v>
          </cell>
          <cell r="J83" t="str">
            <v>Programmer Officer</v>
          </cell>
          <cell r="K83" t="str">
            <v>Officer</v>
          </cell>
          <cell r="L83" t="str">
            <v>8035165696</v>
          </cell>
          <cell r="M83">
            <v>19</v>
          </cell>
          <cell r="N83">
            <v>21</v>
          </cell>
          <cell r="O83">
            <v>4620000</v>
          </cell>
          <cell r="P83">
            <v>500000</v>
          </cell>
          <cell r="Q83">
            <v>250000</v>
          </cell>
          <cell r="R83">
            <v>5370000</v>
          </cell>
          <cell r="S83">
            <v>11900</v>
          </cell>
          <cell r="T83">
            <v>226100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214800</v>
          </cell>
          <cell r="Z83">
            <v>243798</v>
          </cell>
          <cell r="AA83">
            <v>107400</v>
          </cell>
          <cell r="AC83">
            <v>5596100</v>
          </cell>
          <cell r="AD83">
            <v>53700</v>
          </cell>
          <cell r="AE83">
            <v>107400</v>
          </cell>
          <cell r="AF83">
            <v>53700</v>
          </cell>
          <cell r="AG83">
            <v>0</v>
          </cell>
          <cell r="AH83">
            <v>0</v>
          </cell>
          <cell r="AI83">
            <v>0</v>
          </cell>
        </row>
        <row r="84">
          <cell r="B84" t="str">
            <v>02-1220-594</v>
          </cell>
          <cell r="C84" t="str">
            <v>Rino Apriliano</v>
          </cell>
          <cell r="D84" t="str">
            <v>Kontrak</v>
          </cell>
          <cell r="E84" t="str">
            <v>Aktif</v>
          </cell>
          <cell r="G84">
            <v>51</v>
          </cell>
          <cell r="H84" t="str">
            <v>Operation</v>
          </cell>
          <cell r="I84" t="str">
            <v>Operation</v>
          </cell>
          <cell r="J84" t="str">
            <v>Operation Crew</v>
          </cell>
          <cell r="K84" t="str">
            <v>Crew</v>
          </cell>
          <cell r="L84" t="str">
            <v>0131489578</v>
          </cell>
          <cell r="M84">
            <v>20</v>
          </cell>
          <cell r="N84">
            <v>25</v>
          </cell>
          <cell r="O84">
            <v>2750136</v>
          </cell>
          <cell r="P84">
            <v>0</v>
          </cell>
          <cell r="Q84">
            <v>0</v>
          </cell>
          <cell r="R84">
            <v>2750136</v>
          </cell>
          <cell r="S84">
            <v>10000</v>
          </cell>
          <cell r="T84">
            <v>200000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110005</v>
          </cell>
          <cell r="Z84">
            <v>124856</v>
          </cell>
          <cell r="AA84">
            <v>55003</v>
          </cell>
          <cell r="AC84">
            <v>2950136</v>
          </cell>
          <cell r="AD84">
            <v>27501</v>
          </cell>
          <cell r="AE84">
            <v>55003</v>
          </cell>
          <cell r="AF84">
            <v>27501</v>
          </cell>
          <cell r="AG84">
            <v>0</v>
          </cell>
          <cell r="AH84">
            <v>0</v>
          </cell>
          <cell r="AI84">
            <v>0</v>
          </cell>
        </row>
        <row r="85">
          <cell r="B85" t="str">
            <v>02-1220-597</v>
          </cell>
          <cell r="C85" t="str">
            <v>Judi</v>
          </cell>
          <cell r="D85" t="str">
            <v>Kontrak</v>
          </cell>
          <cell r="E85" t="str">
            <v>Aktif</v>
          </cell>
          <cell r="G85">
            <v>51</v>
          </cell>
          <cell r="H85" t="str">
            <v>Operation</v>
          </cell>
          <cell r="I85" t="str">
            <v>Cleaning &amp; Security</v>
          </cell>
          <cell r="J85" t="str">
            <v>Security Team Leader</v>
          </cell>
          <cell r="K85" t="str">
            <v>Crew</v>
          </cell>
          <cell r="L85" t="str">
            <v>3200765744</v>
          </cell>
          <cell r="M85">
            <v>22</v>
          </cell>
          <cell r="N85">
            <v>25</v>
          </cell>
          <cell r="O85">
            <v>2917967</v>
          </cell>
          <cell r="P85">
            <v>0</v>
          </cell>
          <cell r="Q85">
            <v>0</v>
          </cell>
          <cell r="R85">
            <v>2917967</v>
          </cell>
          <cell r="S85">
            <v>10000</v>
          </cell>
          <cell r="T85">
            <v>220000</v>
          </cell>
          <cell r="U85">
            <v>0</v>
          </cell>
          <cell r="V85">
            <v>0</v>
          </cell>
          <cell r="W85">
            <v>200000</v>
          </cell>
          <cell r="X85">
            <v>0</v>
          </cell>
          <cell r="Y85">
            <v>116719</v>
          </cell>
          <cell r="Z85">
            <v>132476</v>
          </cell>
          <cell r="AA85">
            <v>58359</v>
          </cell>
          <cell r="AC85">
            <v>3337967</v>
          </cell>
          <cell r="AD85">
            <v>29180</v>
          </cell>
          <cell r="AE85">
            <v>58359</v>
          </cell>
          <cell r="AF85">
            <v>29180</v>
          </cell>
          <cell r="AG85">
            <v>0</v>
          </cell>
          <cell r="AH85">
            <v>0</v>
          </cell>
          <cell r="AI85">
            <v>0</v>
          </cell>
        </row>
        <row r="86">
          <cell r="B86" t="str">
            <v>02-1220-598</v>
          </cell>
          <cell r="C86" t="str">
            <v>Suci Rahayu</v>
          </cell>
          <cell r="D86" t="str">
            <v>Tetap</v>
          </cell>
          <cell r="E86" t="str">
            <v>Aktif</v>
          </cell>
          <cell r="G86">
            <v>51</v>
          </cell>
          <cell r="H86" t="str">
            <v>HR &amp; Legal</v>
          </cell>
          <cell r="I86" t="str">
            <v>Legal</v>
          </cell>
          <cell r="J86" t="str">
            <v>Corporate Secretary &amp; Legal Officer</v>
          </cell>
          <cell r="K86" t="str">
            <v>Officer</v>
          </cell>
          <cell r="L86" t="str">
            <v>1430348619</v>
          </cell>
          <cell r="M86">
            <v>18</v>
          </cell>
          <cell r="N86">
            <v>21</v>
          </cell>
          <cell r="O86">
            <v>3590864</v>
          </cell>
          <cell r="P86">
            <v>500000</v>
          </cell>
          <cell r="Q86">
            <v>0</v>
          </cell>
          <cell r="R86">
            <v>4090864</v>
          </cell>
          <cell r="S86">
            <v>11900</v>
          </cell>
          <cell r="T86">
            <v>214200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163635</v>
          </cell>
          <cell r="Z86">
            <v>185725</v>
          </cell>
          <cell r="AA86">
            <v>81817</v>
          </cell>
          <cell r="AC86">
            <v>4305064</v>
          </cell>
          <cell r="AD86">
            <v>40909</v>
          </cell>
          <cell r="AE86">
            <v>81817</v>
          </cell>
          <cell r="AF86">
            <v>40909</v>
          </cell>
          <cell r="AG86">
            <v>0</v>
          </cell>
          <cell r="AH86">
            <v>0</v>
          </cell>
          <cell r="AI86">
            <v>40909</v>
          </cell>
        </row>
        <row r="87">
          <cell r="B87" t="str">
            <v>02-1220-600</v>
          </cell>
          <cell r="C87" t="str">
            <v>Danu Agus Istiyono</v>
          </cell>
          <cell r="D87" t="str">
            <v>Kontrak</v>
          </cell>
          <cell r="E87" t="str">
            <v>Aktif</v>
          </cell>
          <cell r="G87">
            <v>51</v>
          </cell>
          <cell r="H87" t="str">
            <v>Operation</v>
          </cell>
          <cell r="I87" t="str">
            <v>Operation</v>
          </cell>
          <cell r="J87" t="str">
            <v>Operation Crew</v>
          </cell>
          <cell r="K87" t="str">
            <v>Crew</v>
          </cell>
          <cell r="L87" t="str">
            <v>3200765191</v>
          </cell>
          <cell r="M87">
            <v>20</v>
          </cell>
          <cell r="N87">
            <v>25</v>
          </cell>
          <cell r="O87">
            <v>2750136</v>
          </cell>
          <cell r="P87">
            <v>0</v>
          </cell>
          <cell r="Q87">
            <v>0</v>
          </cell>
          <cell r="R87">
            <v>2750136</v>
          </cell>
          <cell r="S87">
            <v>10000</v>
          </cell>
          <cell r="T87">
            <v>200000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110005</v>
          </cell>
          <cell r="Z87">
            <v>124856</v>
          </cell>
          <cell r="AA87">
            <v>55003</v>
          </cell>
          <cell r="AC87">
            <v>2950136</v>
          </cell>
          <cell r="AD87">
            <v>27501</v>
          </cell>
          <cell r="AE87">
            <v>55003</v>
          </cell>
          <cell r="AF87">
            <v>27501</v>
          </cell>
          <cell r="AG87">
            <v>0</v>
          </cell>
          <cell r="AH87">
            <v>0</v>
          </cell>
          <cell r="AI87">
            <v>0</v>
          </cell>
        </row>
        <row r="88">
          <cell r="B88" t="str">
            <v>02-1220-603</v>
          </cell>
          <cell r="C88" t="str">
            <v>CH. Arjuna Armayana Wijaya</v>
          </cell>
          <cell r="D88" t="str">
            <v>Kontrak</v>
          </cell>
          <cell r="E88" t="str">
            <v>Aktif</v>
          </cell>
          <cell r="G88">
            <v>51</v>
          </cell>
          <cell r="H88" t="str">
            <v>Operation</v>
          </cell>
          <cell r="I88" t="str">
            <v>Operation</v>
          </cell>
          <cell r="J88" t="str">
            <v>Operation Crew</v>
          </cell>
          <cell r="K88" t="str">
            <v>Crew</v>
          </cell>
          <cell r="L88" t="str">
            <v>0131213661</v>
          </cell>
          <cell r="M88">
            <v>21</v>
          </cell>
          <cell r="N88">
            <v>25</v>
          </cell>
          <cell r="O88">
            <v>2750136</v>
          </cell>
          <cell r="P88">
            <v>0</v>
          </cell>
          <cell r="Q88">
            <v>0</v>
          </cell>
          <cell r="R88">
            <v>2750136</v>
          </cell>
          <cell r="S88">
            <v>10000</v>
          </cell>
          <cell r="T88">
            <v>210000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110005</v>
          </cell>
          <cell r="Z88">
            <v>124856</v>
          </cell>
          <cell r="AA88">
            <v>55003</v>
          </cell>
          <cell r="AC88">
            <v>2960136</v>
          </cell>
          <cell r="AD88">
            <v>27501</v>
          </cell>
          <cell r="AE88">
            <v>55003</v>
          </cell>
          <cell r="AF88">
            <v>27501</v>
          </cell>
          <cell r="AG88">
            <v>0</v>
          </cell>
          <cell r="AH88">
            <v>0</v>
          </cell>
          <cell r="AI88">
            <v>0</v>
          </cell>
        </row>
        <row r="89">
          <cell r="B89" t="str">
            <v>02-1220-604</v>
          </cell>
          <cell r="C89" t="str">
            <v>Tri Rizqi Agung</v>
          </cell>
          <cell r="D89" t="str">
            <v>Kontrak</v>
          </cell>
          <cell r="E89" t="str">
            <v>Aktif</v>
          </cell>
          <cell r="G89">
            <v>51</v>
          </cell>
          <cell r="H89" t="str">
            <v>Operation</v>
          </cell>
          <cell r="I89" t="str">
            <v>Operation</v>
          </cell>
          <cell r="J89" t="str">
            <v>Operation Team Leader</v>
          </cell>
          <cell r="K89" t="str">
            <v>Crew</v>
          </cell>
          <cell r="L89" t="str">
            <v>0131213599</v>
          </cell>
          <cell r="M89">
            <v>21</v>
          </cell>
          <cell r="N89">
            <v>25</v>
          </cell>
          <cell r="O89">
            <v>2820980</v>
          </cell>
          <cell r="P89">
            <v>0</v>
          </cell>
          <cell r="Q89">
            <v>0</v>
          </cell>
          <cell r="R89">
            <v>2820980</v>
          </cell>
          <cell r="S89">
            <v>10000</v>
          </cell>
          <cell r="T89">
            <v>210000</v>
          </cell>
          <cell r="U89">
            <v>0</v>
          </cell>
          <cell r="V89">
            <v>0</v>
          </cell>
          <cell r="W89">
            <v>200000</v>
          </cell>
          <cell r="X89">
            <v>0</v>
          </cell>
          <cell r="Y89">
            <v>112839</v>
          </cell>
          <cell r="Z89">
            <v>128072</v>
          </cell>
          <cell r="AA89">
            <v>56420</v>
          </cell>
          <cell r="AC89">
            <v>3230980</v>
          </cell>
          <cell r="AD89">
            <v>28210</v>
          </cell>
          <cell r="AE89">
            <v>56420</v>
          </cell>
          <cell r="AF89">
            <v>28210</v>
          </cell>
          <cell r="AG89">
            <v>0</v>
          </cell>
          <cell r="AH89">
            <v>0</v>
          </cell>
          <cell r="AI89">
            <v>0</v>
          </cell>
        </row>
        <row r="90">
          <cell r="B90" t="str">
            <v>02-1220-608</v>
          </cell>
          <cell r="C90" t="str">
            <v>Athin Pratiwi</v>
          </cell>
          <cell r="D90" t="str">
            <v>Kontrak</v>
          </cell>
          <cell r="E90" t="str">
            <v>Aktif</v>
          </cell>
          <cell r="G90">
            <v>51</v>
          </cell>
          <cell r="H90" t="str">
            <v>Inpark Revenue</v>
          </cell>
          <cell r="I90" t="str">
            <v>Inpark Revenue Operational</v>
          </cell>
          <cell r="J90" t="str">
            <v>Inpark Revenue Operational Officer</v>
          </cell>
          <cell r="K90" t="str">
            <v>Officer</v>
          </cell>
          <cell r="L90" t="str">
            <v>0131213611</v>
          </cell>
          <cell r="M90">
            <v>18</v>
          </cell>
          <cell r="N90">
            <v>21</v>
          </cell>
          <cell r="O90">
            <v>2833969</v>
          </cell>
          <cell r="P90">
            <v>500000</v>
          </cell>
          <cell r="Q90">
            <v>0</v>
          </cell>
          <cell r="R90">
            <v>3333969</v>
          </cell>
          <cell r="S90">
            <v>11900</v>
          </cell>
          <cell r="T90">
            <v>214200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133359</v>
          </cell>
          <cell r="Z90">
            <v>151362</v>
          </cell>
          <cell r="AA90">
            <v>66679</v>
          </cell>
          <cell r="AC90">
            <v>3548169</v>
          </cell>
          <cell r="AD90">
            <v>33340</v>
          </cell>
          <cell r="AE90">
            <v>66679</v>
          </cell>
          <cell r="AF90">
            <v>33340</v>
          </cell>
          <cell r="AG90">
            <v>0</v>
          </cell>
          <cell r="AH90">
            <v>0</v>
          </cell>
          <cell r="AI90">
            <v>0</v>
          </cell>
        </row>
        <row r="91">
          <cell r="B91" t="str">
            <v>02-1220-611</v>
          </cell>
          <cell r="C91" t="str">
            <v>Muhammad Ihsan Ma'arif</v>
          </cell>
          <cell r="D91" t="str">
            <v>Kontrak</v>
          </cell>
          <cell r="E91" t="str">
            <v>Aktif</v>
          </cell>
          <cell r="G91">
            <v>51</v>
          </cell>
          <cell r="H91" t="str">
            <v>Maintenance</v>
          </cell>
          <cell r="I91" t="str">
            <v>Maintenance</v>
          </cell>
          <cell r="J91" t="str">
            <v>ME Crew</v>
          </cell>
          <cell r="K91" t="str">
            <v>Crew</v>
          </cell>
          <cell r="L91" t="str">
            <v>0131221524</v>
          </cell>
          <cell r="M91">
            <v>16</v>
          </cell>
          <cell r="N91">
            <v>25</v>
          </cell>
          <cell r="O91">
            <v>2750136</v>
          </cell>
          <cell r="P91">
            <v>0</v>
          </cell>
          <cell r="Q91">
            <v>250000</v>
          </cell>
          <cell r="R91">
            <v>3000136</v>
          </cell>
          <cell r="S91">
            <v>10000</v>
          </cell>
          <cell r="T91">
            <v>160000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120005</v>
          </cell>
          <cell r="Z91">
            <v>136206</v>
          </cell>
          <cell r="AA91">
            <v>60003</v>
          </cell>
          <cell r="AC91">
            <v>3160136</v>
          </cell>
          <cell r="AD91">
            <v>30001</v>
          </cell>
          <cell r="AE91">
            <v>60003</v>
          </cell>
          <cell r="AF91">
            <v>30001</v>
          </cell>
          <cell r="AG91">
            <v>0</v>
          </cell>
          <cell r="AH91">
            <v>0</v>
          </cell>
          <cell r="AI91">
            <v>0</v>
          </cell>
        </row>
        <row r="92">
          <cell r="B92" t="str">
            <v>02-1220-612</v>
          </cell>
          <cell r="C92" t="str">
            <v>Rizky Ilham Maulana</v>
          </cell>
          <cell r="D92" t="str">
            <v>Kontrak</v>
          </cell>
          <cell r="E92" t="str">
            <v>Aktif</v>
          </cell>
          <cell r="G92">
            <v>51</v>
          </cell>
          <cell r="H92" t="str">
            <v>Inpark Revenue</v>
          </cell>
          <cell r="I92" t="str">
            <v>Inpark Revenue Operational</v>
          </cell>
          <cell r="J92" t="str">
            <v>Inpark Revenue Operational Crew</v>
          </cell>
          <cell r="K92" t="str">
            <v>Crew</v>
          </cell>
          <cell r="L92" t="str">
            <v>0131221559</v>
          </cell>
          <cell r="M92">
            <v>19</v>
          </cell>
          <cell r="N92">
            <v>25</v>
          </cell>
          <cell r="O92">
            <v>2750136</v>
          </cell>
          <cell r="P92">
            <v>0</v>
          </cell>
          <cell r="Q92">
            <v>0</v>
          </cell>
          <cell r="R92">
            <v>2750136</v>
          </cell>
          <cell r="S92">
            <v>10000</v>
          </cell>
          <cell r="T92">
            <v>190000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110005</v>
          </cell>
          <cell r="Z92">
            <v>124856</v>
          </cell>
          <cell r="AA92">
            <v>55003</v>
          </cell>
          <cell r="AC92">
            <v>2940136</v>
          </cell>
          <cell r="AD92">
            <v>27501</v>
          </cell>
          <cell r="AE92">
            <v>55003</v>
          </cell>
          <cell r="AF92">
            <v>27501</v>
          </cell>
          <cell r="AG92">
            <v>0</v>
          </cell>
          <cell r="AH92">
            <v>0</v>
          </cell>
          <cell r="AI92">
            <v>0</v>
          </cell>
        </row>
        <row r="93">
          <cell r="B93" t="str">
            <v>02-1220-616</v>
          </cell>
          <cell r="C93" t="str">
            <v>Tri Hidayat</v>
          </cell>
          <cell r="D93" t="str">
            <v>Kontrak</v>
          </cell>
          <cell r="E93" t="str">
            <v>Aktif</v>
          </cell>
          <cell r="G93">
            <v>51</v>
          </cell>
          <cell r="H93" t="str">
            <v>Inpark Revenue</v>
          </cell>
          <cell r="I93" t="str">
            <v>Inpark Revenue Operational</v>
          </cell>
          <cell r="J93" t="str">
            <v>Inpark Revenue Operational Crew</v>
          </cell>
          <cell r="K93" t="str">
            <v>Crew</v>
          </cell>
          <cell r="L93" t="str">
            <v>0131218744</v>
          </cell>
          <cell r="M93">
            <v>20</v>
          </cell>
          <cell r="N93">
            <v>25</v>
          </cell>
          <cell r="O93">
            <v>2750136</v>
          </cell>
          <cell r="P93">
            <v>0</v>
          </cell>
          <cell r="Q93">
            <v>0</v>
          </cell>
          <cell r="R93">
            <v>2750136</v>
          </cell>
          <cell r="S93">
            <v>10000</v>
          </cell>
          <cell r="T93">
            <v>200000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110005</v>
          </cell>
          <cell r="Z93">
            <v>124856</v>
          </cell>
          <cell r="AA93">
            <v>55003</v>
          </cell>
          <cell r="AC93">
            <v>2950136</v>
          </cell>
          <cell r="AD93">
            <v>27501</v>
          </cell>
          <cell r="AE93">
            <v>55003</v>
          </cell>
          <cell r="AF93">
            <v>27501</v>
          </cell>
          <cell r="AG93">
            <v>0</v>
          </cell>
          <cell r="AH93">
            <v>0</v>
          </cell>
          <cell r="AI93">
            <v>0</v>
          </cell>
        </row>
        <row r="94">
          <cell r="B94" t="str">
            <v>02-1220-621</v>
          </cell>
          <cell r="C94" t="str">
            <v>Krisna Danang Kurniawan</v>
          </cell>
          <cell r="D94" t="str">
            <v>Kontrak</v>
          </cell>
          <cell r="E94" t="str">
            <v>Aktif</v>
          </cell>
          <cell r="G94">
            <v>51</v>
          </cell>
          <cell r="H94" t="str">
            <v>Inpark Revenue</v>
          </cell>
          <cell r="I94" t="str">
            <v>Inpark Revenue Operational</v>
          </cell>
          <cell r="J94" t="str">
            <v>Inpark Revenue Operational Team Leader</v>
          </cell>
          <cell r="K94" t="str">
            <v>Crew</v>
          </cell>
          <cell r="L94" t="str">
            <v>0131197208</v>
          </cell>
          <cell r="M94">
            <v>21</v>
          </cell>
          <cell r="N94">
            <v>25</v>
          </cell>
          <cell r="O94">
            <v>2750136</v>
          </cell>
          <cell r="P94">
            <v>0</v>
          </cell>
          <cell r="Q94">
            <v>0</v>
          </cell>
          <cell r="R94">
            <v>2750136</v>
          </cell>
          <cell r="S94">
            <v>10000</v>
          </cell>
          <cell r="T94">
            <v>210000</v>
          </cell>
          <cell r="U94">
            <v>0</v>
          </cell>
          <cell r="V94">
            <v>0</v>
          </cell>
          <cell r="W94">
            <v>200000</v>
          </cell>
          <cell r="X94">
            <v>0</v>
          </cell>
          <cell r="Y94">
            <v>110005</v>
          </cell>
          <cell r="Z94">
            <v>124856</v>
          </cell>
          <cell r="AA94">
            <v>55003</v>
          </cell>
          <cell r="AC94">
            <v>3160136</v>
          </cell>
          <cell r="AD94">
            <v>27501</v>
          </cell>
          <cell r="AE94">
            <v>55003</v>
          </cell>
          <cell r="AF94">
            <v>27501</v>
          </cell>
          <cell r="AG94">
            <v>0</v>
          </cell>
          <cell r="AH94">
            <v>0</v>
          </cell>
          <cell r="AI94">
            <v>0</v>
          </cell>
        </row>
        <row r="95">
          <cell r="B95" t="str">
            <v>02-1220-625</v>
          </cell>
          <cell r="C95" t="str">
            <v>Tri Listyo Anggoro</v>
          </cell>
          <cell r="D95" t="str">
            <v>Kontrak</v>
          </cell>
          <cell r="E95" t="str">
            <v>Aktif</v>
          </cell>
          <cell r="G95">
            <v>51</v>
          </cell>
          <cell r="H95" t="str">
            <v>Maintenance</v>
          </cell>
          <cell r="I95" t="str">
            <v>Maintenance</v>
          </cell>
          <cell r="J95" t="str">
            <v>ME Crew</v>
          </cell>
          <cell r="K95" t="str">
            <v>Crew</v>
          </cell>
          <cell r="L95" t="str">
            <v>0131221427</v>
          </cell>
          <cell r="M95">
            <v>18</v>
          </cell>
          <cell r="N95">
            <v>25</v>
          </cell>
          <cell r="O95">
            <v>2750136</v>
          </cell>
          <cell r="P95">
            <v>0</v>
          </cell>
          <cell r="Q95">
            <v>250000</v>
          </cell>
          <cell r="R95">
            <v>3000136</v>
          </cell>
          <cell r="S95">
            <v>10000</v>
          </cell>
          <cell r="T95">
            <v>180000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120005</v>
          </cell>
          <cell r="Z95">
            <v>136206</v>
          </cell>
          <cell r="AA95">
            <v>60003</v>
          </cell>
          <cell r="AC95">
            <v>3180136</v>
          </cell>
          <cell r="AD95">
            <v>30001</v>
          </cell>
          <cell r="AE95">
            <v>60003</v>
          </cell>
          <cell r="AF95">
            <v>30001</v>
          </cell>
          <cell r="AG95">
            <v>0</v>
          </cell>
          <cell r="AH95">
            <v>0</v>
          </cell>
          <cell r="AI95">
            <v>0</v>
          </cell>
        </row>
        <row r="96">
          <cell r="B96" t="str">
            <v>02-1220-627</v>
          </cell>
          <cell r="C96" t="str">
            <v>Agung Zuhri Tajdid</v>
          </cell>
          <cell r="D96" t="str">
            <v>Kontrak</v>
          </cell>
          <cell r="E96" t="str">
            <v>Aktif</v>
          </cell>
          <cell r="G96">
            <v>51</v>
          </cell>
          <cell r="H96" t="str">
            <v>Operation</v>
          </cell>
          <cell r="I96" t="str">
            <v>Operation</v>
          </cell>
          <cell r="J96" t="str">
            <v>Operation Team Leader</v>
          </cell>
          <cell r="K96" t="str">
            <v>Crew</v>
          </cell>
          <cell r="L96" t="str">
            <v>0131227883</v>
          </cell>
          <cell r="M96">
            <v>21</v>
          </cell>
          <cell r="N96">
            <v>25</v>
          </cell>
          <cell r="O96">
            <v>2820980</v>
          </cell>
          <cell r="P96">
            <v>0</v>
          </cell>
          <cell r="Q96">
            <v>0</v>
          </cell>
          <cell r="R96">
            <v>2820980</v>
          </cell>
          <cell r="S96">
            <v>10000</v>
          </cell>
          <cell r="T96">
            <v>210000</v>
          </cell>
          <cell r="U96">
            <v>0</v>
          </cell>
          <cell r="V96">
            <v>0</v>
          </cell>
          <cell r="W96">
            <v>200000</v>
          </cell>
          <cell r="X96">
            <v>0</v>
          </cell>
          <cell r="Y96">
            <v>112839</v>
          </cell>
          <cell r="Z96">
            <v>128072</v>
          </cell>
          <cell r="AA96">
            <v>56420</v>
          </cell>
          <cell r="AC96">
            <v>3230980</v>
          </cell>
          <cell r="AD96">
            <v>28210</v>
          </cell>
          <cell r="AE96">
            <v>56420</v>
          </cell>
          <cell r="AF96">
            <v>28210</v>
          </cell>
          <cell r="AG96">
            <v>0</v>
          </cell>
          <cell r="AH96">
            <v>0</v>
          </cell>
          <cell r="AI96">
            <v>0</v>
          </cell>
        </row>
        <row r="97">
          <cell r="B97" t="str">
            <v>02-1220-628</v>
          </cell>
          <cell r="C97" t="str">
            <v>Busaeri</v>
          </cell>
          <cell r="D97" t="str">
            <v>Kontrak</v>
          </cell>
          <cell r="E97" t="str">
            <v>Aktif</v>
          </cell>
          <cell r="G97">
            <v>51</v>
          </cell>
          <cell r="H97" t="str">
            <v>Operation</v>
          </cell>
          <cell r="I97" t="str">
            <v>Operation</v>
          </cell>
          <cell r="J97" t="str">
            <v>Operation Crew</v>
          </cell>
          <cell r="K97" t="str">
            <v>Crew</v>
          </cell>
          <cell r="L97" t="str">
            <v>0131221443</v>
          </cell>
          <cell r="M97">
            <v>22</v>
          </cell>
          <cell r="N97">
            <v>25</v>
          </cell>
          <cell r="O97">
            <v>2750136</v>
          </cell>
          <cell r="P97">
            <v>0</v>
          </cell>
          <cell r="Q97">
            <v>0</v>
          </cell>
          <cell r="R97">
            <v>2750136</v>
          </cell>
          <cell r="S97">
            <v>10000</v>
          </cell>
          <cell r="T97">
            <v>220000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110005</v>
          </cell>
          <cell r="Z97">
            <v>124856</v>
          </cell>
          <cell r="AA97">
            <v>55003</v>
          </cell>
          <cell r="AC97">
            <v>2970136</v>
          </cell>
          <cell r="AD97">
            <v>27501</v>
          </cell>
          <cell r="AE97">
            <v>55003</v>
          </cell>
          <cell r="AF97">
            <v>27501</v>
          </cell>
          <cell r="AG97">
            <v>0</v>
          </cell>
          <cell r="AH97">
            <v>0</v>
          </cell>
          <cell r="AI97">
            <v>0</v>
          </cell>
        </row>
        <row r="98">
          <cell r="B98" t="str">
            <v>02-1220-629</v>
          </cell>
          <cell r="C98" t="str">
            <v>Muhammad Bagus Hidayatulloh</v>
          </cell>
          <cell r="D98" t="str">
            <v>Kontrak</v>
          </cell>
          <cell r="E98" t="str">
            <v>Aktif</v>
          </cell>
          <cell r="G98">
            <v>51</v>
          </cell>
          <cell r="H98" t="str">
            <v>Operation</v>
          </cell>
          <cell r="I98" t="str">
            <v>Operation</v>
          </cell>
          <cell r="J98" t="str">
            <v>Operation Team Leader</v>
          </cell>
          <cell r="K98" t="str">
            <v>Crew</v>
          </cell>
          <cell r="L98" t="str">
            <v>0131218761</v>
          </cell>
          <cell r="M98">
            <v>21</v>
          </cell>
          <cell r="N98">
            <v>25</v>
          </cell>
          <cell r="O98">
            <v>3136541</v>
          </cell>
          <cell r="P98">
            <v>0</v>
          </cell>
          <cell r="Q98">
            <v>0</v>
          </cell>
          <cell r="R98">
            <v>3136541</v>
          </cell>
          <cell r="S98">
            <v>10000</v>
          </cell>
          <cell r="T98">
            <v>210000</v>
          </cell>
          <cell r="U98">
            <v>0</v>
          </cell>
          <cell r="V98">
            <v>0</v>
          </cell>
          <cell r="W98">
            <v>200000</v>
          </cell>
          <cell r="X98">
            <v>0</v>
          </cell>
          <cell r="Y98">
            <v>125462</v>
          </cell>
          <cell r="Z98">
            <v>142399</v>
          </cell>
          <cell r="AA98">
            <v>62731</v>
          </cell>
          <cell r="AC98">
            <v>3546541</v>
          </cell>
          <cell r="AD98">
            <v>31365</v>
          </cell>
          <cell r="AE98">
            <v>62731</v>
          </cell>
          <cell r="AF98">
            <v>31365</v>
          </cell>
          <cell r="AG98">
            <v>0</v>
          </cell>
          <cell r="AH98">
            <v>0</v>
          </cell>
          <cell r="AI98">
            <v>0</v>
          </cell>
        </row>
        <row r="99">
          <cell r="B99" t="str">
            <v>02-1220-630</v>
          </cell>
          <cell r="C99" t="str">
            <v>Titin Nurul Hidayah</v>
          </cell>
          <cell r="D99" t="str">
            <v>Kontrak</v>
          </cell>
          <cell r="E99" t="str">
            <v>Aktif</v>
          </cell>
          <cell r="G99">
            <v>51</v>
          </cell>
          <cell r="H99" t="str">
            <v>Finance &amp; Accounting</v>
          </cell>
          <cell r="I99" t="str">
            <v>Finance</v>
          </cell>
          <cell r="J99" t="str">
            <v>Cashier Ticketing</v>
          </cell>
          <cell r="K99" t="str">
            <v>Crew</v>
          </cell>
          <cell r="L99" t="str">
            <v>0131218591</v>
          </cell>
          <cell r="M99">
            <v>20</v>
          </cell>
          <cell r="N99">
            <v>25</v>
          </cell>
          <cell r="O99">
            <v>2750136</v>
          </cell>
          <cell r="P99">
            <v>0</v>
          </cell>
          <cell r="Q99">
            <v>0</v>
          </cell>
          <cell r="R99">
            <v>2750136</v>
          </cell>
          <cell r="S99">
            <v>10000</v>
          </cell>
          <cell r="T99">
            <v>200000</v>
          </cell>
          <cell r="U99">
            <v>0</v>
          </cell>
          <cell r="V99">
            <v>23845</v>
          </cell>
          <cell r="W99">
            <v>0</v>
          </cell>
          <cell r="X99">
            <v>0</v>
          </cell>
          <cell r="Y99">
            <v>110005</v>
          </cell>
          <cell r="Z99">
            <v>124856</v>
          </cell>
          <cell r="AA99">
            <v>55003</v>
          </cell>
          <cell r="AC99">
            <v>2973981</v>
          </cell>
          <cell r="AD99">
            <v>27501</v>
          </cell>
          <cell r="AE99">
            <v>55003</v>
          </cell>
          <cell r="AF99">
            <v>27501</v>
          </cell>
          <cell r="AG99">
            <v>0</v>
          </cell>
          <cell r="AH99">
            <v>0</v>
          </cell>
          <cell r="AI99">
            <v>0</v>
          </cell>
        </row>
        <row r="100">
          <cell r="B100" t="str">
            <v>02-1220-631</v>
          </cell>
          <cell r="C100" t="str">
            <v>Marissa Akmalia</v>
          </cell>
          <cell r="D100" t="str">
            <v>Kontrak</v>
          </cell>
          <cell r="E100" t="str">
            <v>Aktif</v>
          </cell>
          <cell r="G100">
            <v>51</v>
          </cell>
          <cell r="H100" t="str">
            <v>Operation</v>
          </cell>
          <cell r="I100" t="str">
            <v>Operation</v>
          </cell>
          <cell r="J100" t="str">
            <v>Operation Crew</v>
          </cell>
          <cell r="K100" t="str">
            <v>Crew</v>
          </cell>
          <cell r="L100" t="str">
            <v>0131218639</v>
          </cell>
          <cell r="M100">
            <v>20</v>
          </cell>
          <cell r="N100">
            <v>25</v>
          </cell>
          <cell r="O100">
            <v>2750136</v>
          </cell>
          <cell r="P100">
            <v>0</v>
          </cell>
          <cell r="Q100">
            <v>0</v>
          </cell>
          <cell r="R100">
            <v>2750136</v>
          </cell>
          <cell r="S100">
            <v>10000</v>
          </cell>
          <cell r="T100">
            <v>200000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110005</v>
          </cell>
          <cell r="Z100">
            <v>124856</v>
          </cell>
          <cell r="AA100">
            <v>55003</v>
          </cell>
          <cell r="AC100">
            <v>2950136</v>
          </cell>
          <cell r="AD100">
            <v>27501</v>
          </cell>
          <cell r="AE100">
            <v>55003</v>
          </cell>
          <cell r="AF100">
            <v>27501</v>
          </cell>
          <cell r="AG100">
            <v>0</v>
          </cell>
          <cell r="AH100">
            <v>0</v>
          </cell>
          <cell r="AI100">
            <v>0</v>
          </cell>
        </row>
        <row r="101">
          <cell r="B101" t="str">
            <v>02-1220-634</v>
          </cell>
          <cell r="C101" t="str">
            <v>Muchlis Arif Hidayat</v>
          </cell>
          <cell r="D101" t="str">
            <v>Kontrak</v>
          </cell>
          <cell r="E101" t="str">
            <v>Aktif</v>
          </cell>
          <cell r="G101">
            <v>51</v>
          </cell>
          <cell r="H101" t="str">
            <v>Operation</v>
          </cell>
          <cell r="I101" t="str">
            <v>Operation</v>
          </cell>
          <cell r="J101" t="str">
            <v>Operation Crew</v>
          </cell>
          <cell r="K101" t="str">
            <v>Crew</v>
          </cell>
          <cell r="L101" t="str">
            <v>0131221591</v>
          </cell>
          <cell r="M101">
            <v>21</v>
          </cell>
          <cell r="N101">
            <v>25</v>
          </cell>
          <cell r="O101">
            <v>2750136</v>
          </cell>
          <cell r="P101">
            <v>0</v>
          </cell>
          <cell r="Q101">
            <v>0</v>
          </cell>
          <cell r="R101">
            <v>2750136</v>
          </cell>
          <cell r="S101">
            <v>10000</v>
          </cell>
          <cell r="T101">
            <v>210000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110005</v>
          </cell>
          <cell r="Z101">
            <v>124856</v>
          </cell>
          <cell r="AA101">
            <v>55003</v>
          </cell>
          <cell r="AC101">
            <v>2960136</v>
          </cell>
          <cell r="AD101">
            <v>27501</v>
          </cell>
          <cell r="AE101">
            <v>55003</v>
          </cell>
          <cell r="AF101">
            <v>27501</v>
          </cell>
          <cell r="AG101">
            <v>0</v>
          </cell>
          <cell r="AH101">
            <v>0</v>
          </cell>
          <cell r="AI101">
            <v>0</v>
          </cell>
        </row>
        <row r="102">
          <cell r="B102" t="str">
            <v>02-1220-636</v>
          </cell>
          <cell r="C102" t="str">
            <v>Adi Setyawan</v>
          </cell>
          <cell r="D102" t="str">
            <v>Tetap</v>
          </cell>
          <cell r="E102" t="str">
            <v>Aktif</v>
          </cell>
          <cell r="G102">
            <v>51</v>
          </cell>
          <cell r="H102" t="str">
            <v>Operation</v>
          </cell>
          <cell r="I102" t="str">
            <v>Operation</v>
          </cell>
          <cell r="J102" t="str">
            <v>Operation Officer</v>
          </cell>
          <cell r="K102" t="str">
            <v>Officer</v>
          </cell>
          <cell r="L102" t="str">
            <v>0131218701</v>
          </cell>
          <cell r="M102">
            <v>17</v>
          </cell>
          <cell r="N102">
            <v>21</v>
          </cell>
          <cell r="O102">
            <v>3080000</v>
          </cell>
          <cell r="P102">
            <v>500000</v>
          </cell>
          <cell r="Q102">
            <v>0</v>
          </cell>
          <cell r="R102">
            <v>3580000</v>
          </cell>
          <cell r="S102">
            <v>11900</v>
          </cell>
          <cell r="T102">
            <v>202300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143200</v>
          </cell>
          <cell r="Z102">
            <v>162532</v>
          </cell>
          <cell r="AA102">
            <v>71600</v>
          </cell>
          <cell r="AC102">
            <v>3782300</v>
          </cell>
          <cell r="AD102">
            <v>35800</v>
          </cell>
          <cell r="AE102">
            <v>71600</v>
          </cell>
          <cell r="AF102">
            <v>35800</v>
          </cell>
          <cell r="AG102">
            <v>0</v>
          </cell>
          <cell r="AH102">
            <v>0</v>
          </cell>
          <cell r="AI102">
            <v>0</v>
          </cell>
        </row>
        <row r="103">
          <cell r="B103" t="str">
            <v>02-1220-637</v>
          </cell>
          <cell r="C103" t="str">
            <v>Siti Inayah</v>
          </cell>
          <cell r="D103" t="str">
            <v>Kontrak</v>
          </cell>
          <cell r="E103" t="str">
            <v>Aktif</v>
          </cell>
          <cell r="G103">
            <v>51</v>
          </cell>
          <cell r="H103" t="str">
            <v>Operation</v>
          </cell>
          <cell r="I103" t="str">
            <v>Operation</v>
          </cell>
          <cell r="J103" t="str">
            <v>Operation Crew</v>
          </cell>
          <cell r="K103" t="str">
            <v>Crew</v>
          </cell>
          <cell r="L103" t="str">
            <v>0131218604</v>
          </cell>
          <cell r="M103">
            <v>21</v>
          </cell>
          <cell r="N103">
            <v>25</v>
          </cell>
          <cell r="O103">
            <v>2750136</v>
          </cell>
          <cell r="P103">
            <v>0</v>
          </cell>
          <cell r="Q103">
            <v>0</v>
          </cell>
          <cell r="R103">
            <v>2750136</v>
          </cell>
          <cell r="S103">
            <v>10000</v>
          </cell>
          <cell r="T103">
            <v>210000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110005</v>
          </cell>
          <cell r="Z103">
            <v>124856</v>
          </cell>
          <cell r="AA103">
            <v>55003</v>
          </cell>
          <cell r="AC103">
            <v>2960136</v>
          </cell>
          <cell r="AD103">
            <v>27501</v>
          </cell>
          <cell r="AE103">
            <v>55003</v>
          </cell>
          <cell r="AF103">
            <v>27501</v>
          </cell>
          <cell r="AG103">
            <v>0</v>
          </cell>
          <cell r="AH103">
            <v>0</v>
          </cell>
          <cell r="AI103">
            <v>0</v>
          </cell>
        </row>
        <row r="104">
          <cell r="B104" t="str">
            <v>02-1220-638</v>
          </cell>
          <cell r="C104" t="str">
            <v>Eka Prasetiya</v>
          </cell>
          <cell r="D104" t="str">
            <v>Kontrak</v>
          </cell>
          <cell r="E104" t="str">
            <v>Aktif</v>
          </cell>
          <cell r="G104">
            <v>51</v>
          </cell>
          <cell r="H104" t="str">
            <v>Operation</v>
          </cell>
          <cell r="I104" t="str">
            <v>Operation</v>
          </cell>
          <cell r="J104" t="str">
            <v>Operation Crew</v>
          </cell>
          <cell r="K104" t="str">
            <v>Crew</v>
          </cell>
          <cell r="L104" t="str">
            <v>0131221753</v>
          </cell>
          <cell r="M104">
            <v>21</v>
          </cell>
          <cell r="N104">
            <v>25</v>
          </cell>
          <cell r="O104">
            <v>2750136</v>
          </cell>
          <cell r="P104">
            <v>0</v>
          </cell>
          <cell r="Q104">
            <v>0</v>
          </cell>
          <cell r="R104">
            <v>2750136</v>
          </cell>
          <cell r="S104">
            <v>10000</v>
          </cell>
          <cell r="T104">
            <v>210000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110005</v>
          </cell>
          <cell r="Z104">
            <v>124856</v>
          </cell>
          <cell r="AA104">
            <v>55003</v>
          </cell>
          <cell r="AC104">
            <v>2960136</v>
          </cell>
          <cell r="AD104">
            <v>27501</v>
          </cell>
          <cell r="AE104">
            <v>55003</v>
          </cell>
          <cell r="AF104">
            <v>27501</v>
          </cell>
          <cell r="AG104">
            <v>0</v>
          </cell>
          <cell r="AH104">
            <v>0</v>
          </cell>
          <cell r="AI104">
            <v>0</v>
          </cell>
        </row>
        <row r="105">
          <cell r="B105" t="str">
            <v>02-1220-640</v>
          </cell>
          <cell r="C105" t="str">
            <v>Ignatius Edi Purwoko</v>
          </cell>
          <cell r="D105" t="str">
            <v>Kontrak</v>
          </cell>
          <cell r="E105" t="str">
            <v>Aktif</v>
          </cell>
          <cell r="G105">
            <v>51</v>
          </cell>
          <cell r="H105" t="str">
            <v>Operation</v>
          </cell>
          <cell r="I105" t="str">
            <v>Operation</v>
          </cell>
          <cell r="J105" t="str">
            <v>Operation Crew</v>
          </cell>
          <cell r="K105" t="str">
            <v>Crew</v>
          </cell>
          <cell r="L105" t="str">
            <v>0131220757</v>
          </cell>
          <cell r="M105">
            <v>20</v>
          </cell>
          <cell r="N105">
            <v>25</v>
          </cell>
          <cell r="O105">
            <v>2750136</v>
          </cell>
          <cell r="P105">
            <v>0</v>
          </cell>
          <cell r="Q105">
            <v>0</v>
          </cell>
          <cell r="R105">
            <v>2750136</v>
          </cell>
          <cell r="S105">
            <v>10000</v>
          </cell>
          <cell r="T105">
            <v>200000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110005</v>
          </cell>
          <cell r="Z105">
            <v>124856</v>
          </cell>
          <cell r="AA105">
            <v>55003</v>
          </cell>
          <cell r="AC105">
            <v>2950136</v>
          </cell>
          <cell r="AD105">
            <v>27501</v>
          </cell>
          <cell r="AE105">
            <v>55003</v>
          </cell>
          <cell r="AF105">
            <v>27501</v>
          </cell>
          <cell r="AG105">
            <v>0</v>
          </cell>
          <cell r="AH105">
            <v>0</v>
          </cell>
          <cell r="AI105">
            <v>0</v>
          </cell>
        </row>
        <row r="106">
          <cell r="B106" t="str">
            <v>02-1220-641</v>
          </cell>
          <cell r="C106" t="str">
            <v>Omar Yudi Pamungkas</v>
          </cell>
          <cell r="D106" t="str">
            <v>Tetap</v>
          </cell>
          <cell r="E106" t="str">
            <v>Aktif</v>
          </cell>
          <cell r="G106">
            <v>51</v>
          </cell>
          <cell r="H106" t="str">
            <v>Procurement &amp; GA</v>
          </cell>
          <cell r="I106" t="str">
            <v>GA</v>
          </cell>
          <cell r="J106" t="str">
            <v>Driver</v>
          </cell>
          <cell r="K106" t="str">
            <v>Crew</v>
          </cell>
          <cell r="L106" t="str">
            <v>0131221397</v>
          </cell>
          <cell r="M106">
            <v>19</v>
          </cell>
          <cell r="N106">
            <v>21</v>
          </cell>
          <cell r="O106">
            <v>2750136</v>
          </cell>
          <cell r="P106">
            <v>0</v>
          </cell>
          <cell r="Q106">
            <v>0</v>
          </cell>
          <cell r="R106">
            <v>2750136</v>
          </cell>
          <cell r="S106">
            <v>10000</v>
          </cell>
          <cell r="T106">
            <v>190000</v>
          </cell>
          <cell r="U106">
            <v>0</v>
          </cell>
          <cell r="V106">
            <v>23845</v>
          </cell>
          <cell r="W106">
            <v>0</v>
          </cell>
          <cell r="X106">
            <v>0</v>
          </cell>
          <cell r="Y106">
            <v>110005</v>
          </cell>
          <cell r="Z106">
            <v>124856</v>
          </cell>
          <cell r="AA106">
            <v>55003</v>
          </cell>
          <cell r="AC106">
            <v>2963981</v>
          </cell>
          <cell r="AD106">
            <v>27501</v>
          </cell>
          <cell r="AE106">
            <v>55003</v>
          </cell>
          <cell r="AF106">
            <v>27501</v>
          </cell>
          <cell r="AG106">
            <v>0</v>
          </cell>
          <cell r="AH106">
            <v>0</v>
          </cell>
          <cell r="AI106">
            <v>0</v>
          </cell>
        </row>
        <row r="107">
          <cell r="B107" t="str">
            <v>02-1220-642</v>
          </cell>
          <cell r="C107" t="str">
            <v>Suprapto</v>
          </cell>
          <cell r="D107" t="str">
            <v>Kontrak</v>
          </cell>
          <cell r="E107" t="str">
            <v>Aktif</v>
          </cell>
          <cell r="G107">
            <v>51</v>
          </cell>
          <cell r="H107" t="str">
            <v>Maintenance</v>
          </cell>
          <cell r="I107" t="str">
            <v>Landscape &amp; Environment</v>
          </cell>
          <cell r="J107" t="str">
            <v>Landscape Crew</v>
          </cell>
          <cell r="K107" t="str">
            <v>Crew</v>
          </cell>
          <cell r="L107" t="str">
            <v>0131221478</v>
          </cell>
          <cell r="M107">
            <v>22</v>
          </cell>
          <cell r="N107">
            <v>25</v>
          </cell>
          <cell r="O107">
            <v>2750136</v>
          </cell>
          <cell r="P107">
            <v>0</v>
          </cell>
          <cell r="Q107">
            <v>0</v>
          </cell>
          <cell r="R107">
            <v>2750136</v>
          </cell>
          <cell r="S107">
            <v>10000</v>
          </cell>
          <cell r="T107">
            <v>220000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110005</v>
          </cell>
          <cell r="Z107">
            <v>124856</v>
          </cell>
          <cell r="AA107">
            <v>55003</v>
          </cell>
          <cell r="AC107">
            <v>2970136</v>
          </cell>
          <cell r="AD107">
            <v>27501</v>
          </cell>
          <cell r="AE107">
            <v>55003</v>
          </cell>
          <cell r="AF107">
            <v>27501</v>
          </cell>
          <cell r="AG107">
            <v>0</v>
          </cell>
          <cell r="AH107">
            <v>0</v>
          </cell>
          <cell r="AI107">
            <v>0</v>
          </cell>
        </row>
        <row r="108">
          <cell r="B108" t="str">
            <v>02-0121-002</v>
          </cell>
          <cell r="C108" t="str">
            <v>Hasan Fatchur Rochim</v>
          </cell>
          <cell r="D108" t="str">
            <v>Kontrak</v>
          </cell>
          <cell r="E108" t="str">
            <v>Aktif</v>
          </cell>
          <cell r="G108">
            <v>50</v>
          </cell>
          <cell r="H108" t="str">
            <v>Inpark Revenue</v>
          </cell>
          <cell r="I108" t="str">
            <v>Inpark Revenue Operational</v>
          </cell>
          <cell r="J108" t="str">
            <v>Inpark Revenue Operational Crew</v>
          </cell>
          <cell r="K108" t="str">
            <v>Crew</v>
          </cell>
          <cell r="L108" t="str">
            <v>0131286219</v>
          </cell>
          <cell r="M108">
            <v>21</v>
          </cell>
          <cell r="N108">
            <v>25</v>
          </cell>
          <cell r="O108">
            <v>2750136</v>
          </cell>
          <cell r="P108">
            <v>0</v>
          </cell>
          <cell r="Q108">
            <v>0</v>
          </cell>
          <cell r="R108">
            <v>2750136</v>
          </cell>
          <cell r="S108">
            <v>10000</v>
          </cell>
          <cell r="T108">
            <v>210000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110005</v>
          </cell>
          <cell r="Z108">
            <v>124856</v>
          </cell>
          <cell r="AA108">
            <v>55003</v>
          </cell>
          <cell r="AC108">
            <v>2960136</v>
          </cell>
          <cell r="AD108">
            <v>27501</v>
          </cell>
          <cell r="AE108">
            <v>55003</v>
          </cell>
          <cell r="AF108">
            <v>27501</v>
          </cell>
          <cell r="AG108">
            <v>0</v>
          </cell>
          <cell r="AH108">
            <v>0</v>
          </cell>
          <cell r="AI108">
            <v>0</v>
          </cell>
        </row>
        <row r="109">
          <cell r="B109" t="str">
            <v>02-0121-003</v>
          </cell>
          <cell r="C109" t="str">
            <v>Titis Setyoko</v>
          </cell>
          <cell r="D109" t="str">
            <v>Kontrak</v>
          </cell>
          <cell r="E109" t="str">
            <v>Aktif</v>
          </cell>
          <cell r="G109">
            <v>50</v>
          </cell>
          <cell r="H109" t="str">
            <v>Finance &amp; Accounting</v>
          </cell>
          <cell r="I109" t="str">
            <v>Finance</v>
          </cell>
          <cell r="J109" t="str">
            <v>Cashier Ticketing</v>
          </cell>
          <cell r="K109" t="str">
            <v>Crew</v>
          </cell>
          <cell r="L109" t="str">
            <v>0131220510</v>
          </cell>
          <cell r="M109">
            <v>21</v>
          </cell>
          <cell r="N109">
            <v>25</v>
          </cell>
          <cell r="O109">
            <v>2750136</v>
          </cell>
          <cell r="P109">
            <v>0</v>
          </cell>
          <cell r="Q109">
            <v>0</v>
          </cell>
          <cell r="R109">
            <v>2750136</v>
          </cell>
          <cell r="S109">
            <v>10000</v>
          </cell>
          <cell r="T109">
            <v>210000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110005</v>
          </cell>
          <cell r="Z109">
            <v>124856</v>
          </cell>
          <cell r="AA109">
            <v>55003</v>
          </cell>
          <cell r="AC109">
            <v>2960136</v>
          </cell>
          <cell r="AD109">
            <v>27501</v>
          </cell>
          <cell r="AE109">
            <v>55003</v>
          </cell>
          <cell r="AF109">
            <v>27501</v>
          </cell>
          <cell r="AG109">
            <v>0</v>
          </cell>
          <cell r="AH109">
            <v>0</v>
          </cell>
          <cell r="AI109">
            <v>0</v>
          </cell>
        </row>
        <row r="110">
          <cell r="B110" t="str">
            <v>02-0121-004</v>
          </cell>
          <cell r="C110" t="str">
            <v>Neng Hesti Styorini</v>
          </cell>
          <cell r="D110" t="str">
            <v>Kontrak</v>
          </cell>
          <cell r="E110" t="str">
            <v>Aktif</v>
          </cell>
          <cell r="G110">
            <v>50</v>
          </cell>
          <cell r="H110" t="str">
            <v>Finance &amp; Accounting</v>
          </cell>
          <cell r="I110" t="str">
            <v>Finance</v>
          </cell>
          <cell r="J110" t="str">
            <v>Admin Finnance</v>
          </cell>
          <cell r="K110" t="str">
            <v>Crew</v>
          </cell>
          <cell r="L110" t="str">
            <v>0131220480</v>
          </cell>
          <cell r="M110">
            <v>19</v>
          </cell>
          <cell r="N110">
            <v>21</v>
          </cell>
          <cell r="O110">
            <v>2750136</v>
          </cell>
          <cell r="P110">
            <v>0</v>
          </cell>
          <cell r="Q110">
            <v>0</v>
          </cell>
          <cell r="R110">
            <v>2750136</v>
          </cell>
          <cell r="S110">
            <v>10000</v>
          </cell>
          <cell r="T110">
            <v>190000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110005</v>
          </cell>
          <cell r="Z110">
            <v>124856</v>
          </cell>
          <cell r="AA110">
            <v>55003</v>
          </cell>
          <cell r="AC110">
            <v>2940136</v>
          </cell>
          <cell r="AD110">
            <v>27501</v>
          </cell>
          <cell r="AE110">
            <v>55003</v>
          </cell>
          <cell r="AF110">
            <v>27501</v>
          </cell>
          <cell r="AG110">
            <v>0</v>
          </cell>
          <cell r="AH110">
            <v>0</v>
          </cell>
          <cell r="AI110">
            <v>0</v>
          </cell>
        </row>
        <row r="111">
          <cell r="B111" t="str">
            <v>02-0121-005</v>
          </cell>
          <cell r="C111" t="str">
            <v>Basillius Agung Ardhy Kristian</v>
          </cell>
          <cell r="D111" t="str">
            <v>Tetap</v>
          </cell>
          <cell r="E111" t="str">
            <v>Aktif</v>
          </cell>
          <cell r="G111">
            <v>50</v>
          </cell>
          <cell r="H111" t="str">
            <v>Inpark Revenue</v>
          </cell>
          <cell r="I111" t="str">
            <v>Inpark Revenue Operational</v>
          </cell>
          <cell r="J111" t="str">
            <v>Inpark Revenue Operational Officer</v>
          </cell>
          <cell r="K111" t="str">
            <v>Officer</v>
          </cell>
          <cell r="L111" t="str">
            <v>0131218345</v>
          </cell>
          <cell r="M111">
            <v>17</v>
          </cell>
          <cell r="N111">
            <v>21</v>
          </cell>
          <cell r="O111">
            <v>3300000</v>
          </cell>
          <cell r="P111">
            <v>500000</v>
          </cell>
          <cell r="Q111">
            <v>0</v>
          </cell>
          <cell r="R111">
            <v>3800000</v>
          </cell>
          <cell r="S111">
            <v>11900</v>
          </cell>
          <cell r="T111">
            <v>202300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152000</v>
          </cell>
          <cell r="Z111">
            <v>172520</v>
          </cell>
          <cell r="AA111">
            <v>76000</v>
          </cell>
          <cell r="AC111">
            <v>4002300</v>
          </cell>
          <cell r="AD111">
            <v>38000</v>
          </cell>
          <cell r="AE111">
            <v>76000</v>
          </cell>
          <cell r="AF111">
            <v>38000</v>
          </cell>
          <cell r="AG111">
            <v>0</v>
          </cell>
          <cell r="AH111">
            <v>0</v>
          </cell>
          <cell r="AI111">
            <v>0</v>
          </cell>
        </row>
        <row r="112">
          <cell r="B112" t="str">
            <v>02-0121-006</v>
          </cell>
          <cell r="C112" t="str">
            <v>Sri Wahyuningsih</v>
          </cell>
          <cell r="D112" t="str">
            <v>Tetap</v>
          </cell>
          <cell r="E112" t="str">
            <v>Aktif</v>
          </cell>
          <cell r="G112">
            <v>50</v>
          </cell>
          <cell r="H112" t="str">
            <v>Finance &amp; Accounting</v>
          </cell>
          <cell r="I112" t="str">
            <v>Finance</v>
          </cell>
          <cell r="J112" t="str">
            <v>Finance Officer</v>
          </cell>
          <cell r="K112" t="str">
            <v>Officer</v>
          </cell>
          <cell r="L112" t="str">
            <v>0131221346</v>
          </cell>
          <cell r="M112">
            <v>17</v>
          </cell>
          <cell r="N112">
            <v>21</v>
          </cell>
          <cell r="O112">
            <v>2990000</v>
          </cell>
          <cell r="P112">
            <v>500000</v>
          </cell>
          <cell r="Q112">
            <v>0</v>
          </cell>
          <cell r="R112">
            <v>3490000</v>
          </cell>
          <cell r="S112">
            <v>11900</v>
          </cell>
          <cell r="T112">
            <v>202300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139600</v>
          </cell>
          <cell r="Z112">
            <v>158446</v>
          </cell>
          <cell r="AA112">
            <v>69800</v>
          </cell>
          <cell r="AC112">
            <v>3692300</v>
          </cell>
          <cell r="AD112">
            <v>34900</v>
          </cell>
          <cell r="AE112">
            <v>69800</v>
          </cell>
          <cell r="AF112">
            <v>34900</v>
          </cell>
          <cell r="AG112">
            <v>0</v>
          </cell>
          <cell r="AH112">
            <v>0</v>
          </cell>
          <cell r="AI112">
            <v>0</v>
          </cell>
        </row>
        <row r="113">
          <cell r="B113" t="str">
            <v>02-0121-008</v>
          </cell>
          <cell r="C113" t="str">
            <v>Istiqomah</v>
          </cell>
          <cell r="D113" t="str">
            <v>Kontrak</v>
          </cell>
          <cell r="E113" t="str">
            <v>Aktif</v>
          </cell>
          <cell r="G113">
            <v>50</v>
          </cell>
          <cell r="H113" t="str">
            <v>Maintenance</v>
          </cell>
          <cell r="I113" t="str">
            <v>Supporting</v>
          </cell>
          <cell r="J113" t="str">
            <v>Admin Maintenance</v>
          </cell>
          <cell r="K113" t="str">
            <v>Crew</v>
          </cell>
          <cell r="L113" t="str">
            <v>0131221389</v>
          </cell>
          <cell r="M113">
            <v>19</v>
          </cell>
          <cell r="N113">
            <v>21</v>
          </cell>
          <cell r="O113">
            <v>3143088</v>
          </cell>
          <cell r="P113">
            <v>0</v>
          </cell>
          <cell r="Q113">
            <v>0</v>
          </cell>
          <cell r="R113">
            <v>3143088</v>
          </cell>
          <cell r="S113">
            <v>10000</v>
          </cell>
          <cell r="T113">
            <v>190000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125724</v>
          </cell>
          <cell r="Z113">
            <v>142696</v>
          </cell>
          <cell r="AA113">
            <v>62862</v>
          </cell>
          <cell r="AC113">
            <v>3333088</v>
          </cell>
          <cell r="AD113">
            <v>31431</v>
          </cell>
          <cell r="AE113">
            <v>62862</v>
          </cell>
          <cell r="AF113">
            <v>31431</v>
          </cell>
          <cell r="AG113">
            <v>0</v>
          </cell>
          <cell r="AH113">
            <v>0</v>
          </cell>
          <cell r="AI113">
            <v>0</v>
          </cell>
        </row>
        <row r="114">
          <cell r="B114" t="str">
            <v>02-0121-009</v>
          </cell>
          <cell r="C114" t="str">
            <v>Lia Irmawati</v>
          </cell>
          <cell r="D114" t="str">
            <v>Kontrak</v>
          </cell>
          <cell r="E114" t="str">
            <v>Aktif</v>
          </cell>
          <cell r="G114">
            <v>50</v>
          </cell>
          <cell r="H114" t="str">
            <v>Inpark Revenue</v>
          </cell>
          <cell r="I114" t="str">
            <v>Partnership &amp; Support</v>
          </cell>
          <cell r="J114" t="str">
            <v>Partnership &amp; Support Admin</v>
          </cell>
          <cell r="K114" t="str">
            <v>Crew</v>
          </cell>
          <cell r="L114" t="str">
            <v>0131220463</v>
          </cell>
          <cell r="M114">
            <v>18</v>
          </cell>
          <cell r="N114">
            <v>21</v>
          </cell>
          <cell r="O114">
            <v>3300472</v>
          </cell>
          <cell r="P114">
            <v>0</v>
          </cell>
          <cell r="Q114">
            <v>0</v>
          </cell>
          <cell r="R114">
            <v>3300472</v>
          </cell>
          <cell r="S114">
            <v>10000</v>
          </cell>
          <cell r="T114">
            <v>180000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132019</v>
          </cell>
          <cell r="Z114">
            <v>149841</v>
          </cell>
          <cell r="AA114">
            <v>66009</v>
          </cell>
          <cell r="AC114">
            <v>3480472</v>
          </cell>
          <cell r="AD114">
            <v>33005</v>
          </cell>
          <cell r="AE114">
            <v>66009</v>
          </cell>
          <cell r="AF114">
            <v>33005</v>
          </cell>
          <cell r="AG114">
            <v>0</v>
          </cell>
          <cell r="AH114">
            <v>0</v>
          </cell>
          <cell r="AI114">
            <v>0</v>
          </cell>
        </row>
        <row r="115">
          <cell r="B115" t="str">
            <v>02-0121-015</v>
          </cell>
          <cell r="C115" t="str">
            <v>Olga Fitriyastuti</v>
          </cell>
          <cell r="D115" t="str">
            <v>Kontrak</v>
          </cell>
          <cell r="E115" t="str">
            <v>Aktif</v>
          </cell>
          <cell r="G115">
            <v>50</v>
          </cell>
          <cell r="H115" t="str">
            <v>Operation</v>
          </cell>
          <cell r="I115" t="str">
            <v>Operation</v>
          </cell>
          <cell r="J115" t="str">
            <v>Operation Crew</v>
          </cell>
          <cell r="K115" t="str">
            <v>Crew</v>
          </cell>
          <cell r="L115" t="str">
            <v>3200825887</v>
          </cell>
          <cell r="M115">
            <v>20</v>
          </cell>
          <cell r="N115">
            <v>25</v>
          </cell>
          <cell r="O115">
            <v>2750136</v>
          </cell>
          <cell r="P115">
            <v>0</v>
          </cell>
          <cell r="Q115">
            <v>0</v>
          </cell>
          <cell r="R115">
            <v>2750136</v>
          </cell>
          <cell r="S115">
            <v>10000</v>
          </cell>
          <cell r="T115">
            <v>200000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110005</v>
          </cell>
          <cell r="Z115">
            <v>124856</v>
          </cell>
          <cell r="AA115">
            <v>55003</v>
          </cell>
          <cell r="AC115">
            <v>2950136</v>
          </cell>
          <cell r="AD115">
            <v>27501</v>
          </cell>
          <cell r="AE115">
            <v>55003</v>
          </cell>
          <cell r="AF115">
            <v>27501</v>
          </cell>
          <cell r="AG115">
            <v>0</v>
          </cell>
          <cell r="AH115">
            <v>0</v>
          </cell>
          <cell r="AI115">
            <v>0</v>
          </cell>
        </row>
        <row r="116">
          <cell r="B116" t="str">
            <v>02-0121-016</v>
          </cell>
          <cell r="C116" t="str">
            <v>Sudadi</v>
          </cell>
          <cell r="D116" t="str">
            <v>Kontrak</v>
          </cell>
          <cell r="E116" t="str">
            <v>Aktif</v>
          </cell>
          <cell r="G116">
            <v>50</v>
          </cell>
          <cell r="H116" t="str">
            <v>Maintenance</v>
          </cell>
          <cell r="I116" t="str">
            <v>Landscape &amp; Environment</v>
          </cell>
          <cell r="J116" t="str">
            <v>Landscape Crew</v>
          </cell>
          <cell r="K116" t="str">
            <v>Crew</v>
          </cell>
          <cell r="L116" t="str">
            <v>0131435761</v>
          </cell>
          <cell r="M116">
            <v>21</v>
          </cell>
          <cell r="N116">
            <v>25</v>
          </cell>
          <cell r="O116">
            <v>2750136</v>
          </cell>
          <cell r="P116">
            <v>0</v>
          </cell>
          <cell r="Q116">
            <v>0</v>
          </cell>
          <cell r="R116">
            <v>2750136</v>
          </cell>
          <cell r="S116">
            <v>10000</v>
          </cell>
          <cell r="T116">
            <v>210000</v>
          </cell>
          <cell r="U116">
            <v>0</v>
          </cell>
          <cell r="V116">
            <v>238452</v>
          </cell>
          <cell r="W116">
            <v>0</v>
          </cell>
          <cell r="X116">
            <v>0</v>
          </cell>
          <cell r="Y116">
            <v>110005</v>
          </cell>
          <cell r="Z116">
            <v>124856</v>
          </cell>
          <cell r="AA116">
            <v>0</v>
          </cell>
          <cell r="AC116">
            <v>3198588</v>
          </cell>
          <cell r="AD116">
            <v>27501</v>
          </cell>
          <cell r="AE116">
            <v>55003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B117" t="str">
            <v>02-0221-028</v>
          </cell>
          <cell r="C117" t="str">
            <v>Adrian Eko Yuliyanto</v>
          </cell>
          <cell r="D117" t="str">
            <v>Kontrak</v>
          </cell>
          <cell r="E117" t="str">
            <v>Aktif</v>
          </cell>
          <cell r="G117">
            <v>49</v>
          </cell>
          <cell r="H117" t="str">
            <v>Operation</v>
          </cell>
          <cell r="I117" t="str">
            <v>Operation</v>
          </cell>
          <cell r="J117" t="str">
            <v>Operation Crew</v>
          </cell>
          <cell r="K117" t="str">
            <v>Crew</v>
          </cell>
          <cell r="L117" t="str">
            <v>3200787471</v>
          </cell>
          <cell r="M117">
            <v>20</v>
          </cell>
          <cell r="N117">
            <v>25</v>
          </cell>
          <cell r="O117">
            <v>2750136</v>
          </cell>
          <cell r="P117">
            <v>0</v>
          </cell>
          <cell r="Q117">
            <v>0</v>
          </cell>
          <cell r="R117">
            <v>2750136</v>
          </cell>
          <cell r="S117">
            <v>10000</v>
          </cell>
          <cell r="T117">
            <v>200000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110005</v>
          </cell>
          <cell r="Z117">
            <v>124856</v>
          </cell>
          <cell r="AA117">
            <v>55003</v>
          </cell>
          <cell r="AC117">
            <v>2950136</v>
          </cell>
          <cell r="AD117">
            <v>27501</v>
          </cell>
          <cell r="AE117">
            <v>55003</v>
          </cell>
          <cell r="AF117">
            <v>27501</v>
          </cell>
          <cell r="AG117">
            <v>0</v>
          </cell>
          <cell r="AH117">
            <v>0</v>
          </cell>
          <cell r="AI117">
            <v>0</v>
          </cell>
        </row>
        <row r="118">
          <cell r="B118" t="str">
            <v>02-0221-029</v>
          </cell>
          <cell r="C118" t="str">
            <v>Ela Fitri Setyaningsih</v>
          </cell>
          <cell r="D118" t="str">
            <v>Kontrak</v>
          </cell>
          <cell r="E118" t="str">
            <v>Aktif</v>
          </cell>
          <cell r="G118">
            <v>49</v>
          </cell>
          <cell r="H118" t="str">
            <v>Operation</v>
          </cell>
          <cell r="I118" t="str">
            <v>Operation</v>
          </cell>
          <cell r="J118" t="str">
            <v>Operation Crew</v>
          </cell>
          <cell r="K118" t="str">
            <v>Crew</v>
          </cell>
          <cell r="L118" t="str">
            <v>3200787527</v>
          </cell>
          <cell r="M118">
            <v>20</v>
          </cell>
          <cell r="N118">
            <v>25</v>
          </cell>
          <cell r="O118">
            <v>2750136</v>
          </cell>
          <cell r="P118">
            <v>0</v>
          </cell>
          <cell r="Q118">
            <v>0</v>
          </cell>
          <cell r="R118">
            <v>2750136</v>
          </cell>
          <cell r="S118">
            <v>10000</v>
          </cell>
          <cell r="T118">
            <v>200000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110005</v>
          </cell>
          <cell r="Z118">
            <v>124856</v>
          </cell>
          <cell r="AA118">
            <v>55003</v>
          </cell>
          <cell r="AC118">
            <v>2950136</v>
          </cell>
          <cell r="AD118">
            <v>27501</v>
          </cell>
          <cell r="AE118">
            <v>55003</v>
          </cell>
          <cell r="AF118">
            <v>27501</v>
          </cell>
          <cell r="AG118">
            <v>0</v>
          </cell>
          <cell r="AH118">
            <v>0</v>
          </cell>
          <cell r="AI118">
            <v>0</v>
          </cell>
        </row>
        <row r="119">
          <cell r="B119" t="str">
            <v>02-0321-033</v>
          </cell>
          <cell r="C119" t="str">
            <v>Kris</v>
          </cell>
          <cell r="D119" t="str">
            <v>Tetap</v>
          </cell>
          <cell r="E119" t="str">
            <v>Aktif</v>
          </cell>
          <cell r="G119">
            <v>48</v>
          </cell>
          <cell r="H119" t="str">
            <v>Procurement &amp; GA</v>
          </cell>
          <cell r="I119" t="str">
            <v>Procurement</v>
          </cell>
          <cell r="J119" t="str">
            <v>Procurement Officer</v>
          </cell>
          <cell r="K119" t="str">
            <v>Officer</v>
          </cell>
          <cell r="L119" t="str">
            <v>0131235665</v>
          </cell>
          <cell r="M119">
            <v>20</v>
          </cell>
          <cell r="N119">
            <v>21</v>
          </cell>
          <cell r="O119">
            <v>3300000</v>
          </cell>
          <cell r="P119">
            <v>500000</v>
          </cell>
          <cell r="Q119">
            <v>0</v>
          </cell>
          <cell r="R119">
            <v>3800000</v>
          </cell>
          <cell r="S119">
            <v>11900</v>
          </cell>
          <cell r="T119">
            <v>238000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152000</v>
          </cell>
          <cell r="Z119">
            <v>172520</v>
          </cell>
          <cell r="AA119">
            <v>76000</v>
          </cell>
          <cell r="AC119">
            <v>4038000</v>
          </cell>
          <cell r="AD119">
            <v>38000</v>
          </cell>
          <cell r="AE119">
            <v>76000</v>
          </cell>
          <cell r="AF119">
            <v>38000</v>
          </cell>
          <cell r="AG119">
            <v>0</v>
          </cell>
          <cell r="AH119">
            <v>0</v>
          </cell>
          <cell r="AI119">
            <v>72000</v>
          </cell>
        </row>
        <row r="120">
          <cell r="B120" t="str">
            <v>02-0521-035</v>
          </cell>
          <cell r="C120" t="str">
            <v>Muhammad Farid Setiadi</v>
          </cell>
          <cell r="D120" t="str">
            <v>Kontrak</v>
          </cell>
          <cell r="E120" t="str">
            <v>Aktif</v>
          </cell>
          <cell r="G120">
            <v>46</v>
          </cell>
          <cell r="H120" t="str">
            <v>Maintenance</v>
          </cell>
          <cell r="I120" t="str">
            <v>Maintenance</v>
          </cell>
          <cell r="J120" t="str">
            <v>ME Crew</v>
          </cell>
          <cell r="K120" t="str">
            <v>Crew</v>
          </cell>
          <cell r="L120" t="str">
            <v>0131315553</v>
          </cell>
          <cell r="M120">
            <v>20</v>
          </cell>
          <cell r="N120">
            <v>25</v>
          </cell>
          <cell r="O120">
            <v>2750136</v>
          </cell>
          <cell r="P120">
            <v>0</v>
          </cell>
          <cell r="Q120">
            <v>250000</v>
          </cell>
          <cell r="R120">
            <v>3000136</v>
          </cell>
          <cell r="S120">
            <v>10000</v>
          </cell>
          <cell r="T120">
            <v>200000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120005</v>
          </cell>
          <cell r="Z120">
            <v>136206</v>
          </cell>
          <cell r="AA120">
            <v>60003</v>
          </cell>
          <cell r="AC120">
            <v>3200136</v>
          </cell>
          <cell r="AD120">
            <v>30001</v>
          </cell>
          <cell r="AE120">
            <v>60003</v>
          </cell>
          <cell r="AF120">
            <v>30001</v>
          </cell>
          <cell r="AG120">
            <v>0</v>
          </cell>
          <cell r="AH120">
            <v>0</v>
          </cell>
          <cell r="AI120">
            <v>0</v>
          </cell>
        </row>
        <row r="121">
          <cell r="B121" t="str">
            <v>02-0906-044</v>
          </cell>
          <cell r="C121" t="str">
            <v>Nurul Arifah Sitaresmi</v>
          </cell>
          <cell r="D121" t="str">
            <v>Kontrak</v>
          </cell>
          <cell r="E121" t="str">
            <v>Aktif</v>
          </cell>
          <cell r="G121">
            <v>42</v>
          </cell>
          <cell r="H121" t="str">
            <v>Procurement &amp; GA</v>
          </cell>
          <cell r="I121" t="str">
            <v>GA</v>
          </cell>
          <cell r="J121" t="str">
            <v>Asset Management Officer</v>
          </cell>
          <cell r="K121" t="str">
            <v>Officer</v>
          </cell>
          <cell r="L121" t="str">
            <v>0131653874</v>
          </cell>
          <cell r="M121">
            <v>16</v>
          </cell>
          <cell r="N121">
            <v>21</v>
          </cell>
          <cell r="O121">
            <v>3080000</v>
          </cell>
          <cell r="P121">
            <v>500000</v>
          </cell>
          <cell r="Q121">
            <v>0</v>
          </cell>
          <cell r="R121">
            <v>3580000</v>
          </cell>
          <cell r="S121">
            <v>11900</v>
          </cell>
          <cell r="T121">
            <v>190400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143200</v>
          </cell>
          <cell r="Z121">
            <v>162532</v>
          </cell>
          <cell r="AA121">
            <v>71600</v>
          </cell>
          <cell r="AC121">
            <v>3770400</v>
          </cell>
          <cell r="AD121">
            <v>35800</v>
          </cell>
          <cell r="AE121">
            <v>71600</v>
          </cell>
          <cell r="AF121">
            <v>35800</v>
          </cell>
          <cell r="AG121">
            <v>0</v>
          </cell>
          <cell r="AH121">
            <v>0</v>
          </cell>
          <cell r="AI121">
            <v>0</v>
          </cell>
        </row>
        <row r="122">
          <cell r="B122" t="str">
            <v>02-0921-046</v>
          </cell>
          <cell r="C122" t="str">
            <v>Trimanto</v>
          </cell>
          <cell r="D122" t="str">
            <v>Kontrak</v>
          </cell>
          <cell r="E122" t="str">
            <v>Aktif</v>
          </cell>
          <cell r="G122">
            <v>42</v>
          </cell>
          <cell r="H122" t="str">
            <v>Maintenance</v>
          </cell>
          <cell r="I122" t="str">
            <v>Landscape &amp; Environment</v>
          </cell>
          <cell r="J122" t="str">
            <v>Landscape Crew</v>
          </cell>
          <cell r="K122" t="str">
            <v>Crew</v>
          </cell>
          <cell r="L122" t="str">
            <v>2221114967</v>
          </cell>
          <cell r="M122">
            <v>22</v>
          </cell>
          <cell r="N122">
            <v>25</v>
          </cell>
          <cell r="O122">
            <v>2750136</v>
          </cell>
          <cell r="P122">
            <v>0</v>
          </cell>
          <cell r="Q122">
            <v>0</v>
          </cell>
          <cell r="R122">
            <v>2750136</v>
          </cell>
          <cell r="S122">
            <v>10000</v>
          </cell>
          <cell r="T122">
            <v>220000</v>
          </cell>
          <cell r="U122">
            <v>0</v>
          </cell>
          <cell r="V122">
            <v>238452</v>
          </cell>
          <cell r="W122">
            <v>0</v>
          </cell>
          <cell r="X122">
            <v>0</v>
          </cell>
          <cell r="Y122">
            <v>110005</v>
          </cell>
          <cell r="Z122">
            <v>124856</v>
          </cell>
          <cell r="AA122">
            <v>55003</v>
          </cell>
          <cell r="AC122">
            <v>3208588</v>
          </cell>
          <cell r="AD122">
            <v>27501</v>
          </cell>
          <cell r="AE122">
            <v>55003</v>
          </cell>
          <cell r="AF122">
            <v>27501</v>
          </cell>
          <cell r="AG122">
            <v>0</v>
          </cell>
          <cell r="AH122">
            <v>0</v>
          </cell>
          <cell r="AI122">
            <v>0</v>
          </cell>
        </row>
        <row r="123">
          <cell r="B123" t="str">
            <v>02-1021-049</v>
          </cell>
          <cell r="C123" t="str">
            <v>Imam Sukri Nawawi</v>
          </cell>
          <cell r="D123" t="str">
            <v>Kontrak</v>
          </cell>
          <cell r="E123" t="str">
            <v>Aktif</v>
          </cell>
          <cell r="G123">
            <v>41</v>
          </cell>
          <cell r="H123" t="str">
            <v>Operation</v>
          </cell>
          <cell r="I123" t="str">
            <v>Operation</v>
          </cell>
          <cell r="J123" t="str">
            <v>Operation Crew</v>
          </cell>
          <cell r="K123" t="str">
            <v>Crew</v>
          </cell>
          <cell r="L123" t="str">
            <v>0131221486</v>
          </cell>
          <cell r="M123">
            <v>21</v>
          </cell>
          <cell r="N123">
            <v>25</v>
          </cell>
          <cell r="O123">
            <v>2750136</v>
          </cell>
          <cell r="P123">
            <v>0</v>
          </cell>
          <cell r="Q123">
            <v>0</v>
          </cell>
          <cell r="R123">
            <v>2750136</v>
          </cell>
          <cell r="S123">
            <v>10000</v>
          </cell>
          <cell r="T123">
            <v>210000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110005</v>
          </cell>
          <cell r="Z123">
            <v>124856</v>
          </cell>
          <cell r="AA123">
            <v>55003</v>
          </cell>
          <cell r="AC123">
            <v>2960136</v>
          </cell>
          <cell r="AD123">
            <v>27501</v>
          </cell>
          <cell r="AE123">
            <v>55003</v>
          </cell>
          <cell r="AF123">
            <v>27501</v>
          </cell>
          <cell r="AG123">
            <v>0</v>
          </cell>
          <cell r="AH123">
            <v>0</v>
          </cell>
          <cell r="AI123">
            <v>0</v>
          </cell>
        </row>
        <row r="124">
          <cell r="B124" t="str">
            <v>02-1221-053</v>
          </cell>
          <cell r="C124" t="str">
            <v>Feri Solech Wibowo</v>
          </cell>
          <cell r="D124" t="str">
            <v>Kontrak</v>
          </cell>
          <cell r="E124" t="str">
            <v>Aktif</v>
          </cell>
          <cell r="G124">
            <v>41</v>
          </cell>
          <cell r="H124" t="str">
            <v>Operation</v>
          </cell>
          <cell r="I124" t="str">
            <v>Cleaning &amp; Security</v>
          </cell>
          <cell r="J124" t="str">
            <v>Security</v>
          </cell>
          <cell r="K124" t="str">
            <v>Crew</v>
          </cell>
          <cell r="L124" t="str">
            <v>0131619811</v>
          </cell>
          <cell r="M124">
            <v>22</v>
          </cell>
          <cell r="N124">
            <v>25</v>
          </cell>
          <cell r="O124">
            <v>2750136</v>
          </cell>
          <cell r="P124">
            <v>0</v>
          </cell>
          <cell r="Q124">
            <v>0</v>
          </cell>
          <cell r="R124">
            <v>2750136</v>
          </cell>
          <cell r="S124">
            <v>10000</v>
          </cell>
          <cell r="T124">
            <v>220000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110005</v>
          </cell>
          <cell r="Z124">
            <v>124856</v>
          </cell>
          <cell r="AA124">
            <v>55003</v>
          </cell>
          <cell r="AC124">
            <v>2970136</v>
          </cell>
          <cell r="AD124">
            <v>27501</v>
          </cell>
          <cell r="AE124">
            <v>55003</v>
          </cell>
          <cell r="AF124">
            <v>27501</v>
          </cell>
          <cell r="AG124">
            <v>0</v>
          </cell>
          <cell r="AH124">
            <v>0</v>
          </cell>
          <cell r="AI124">
            <v>0</v>
          </cell>
        </row>
        <row r="125">
          <cell r="B125" t="str">
            <v>02-1221-054</v>
          </cell>
          <cell r="C125" t="str">
            <v>Kristian Fajar Pamuji</v>
          </cell>
          <cell r="D125" t="str">
            <v>Kontrak</v>
          </cell>
          <cell r="E125" t="str">
            <v>Aktif</v>
          </cell>
          <cell r="G125">
            <v>41</v>
          </cell>
          <cell r="H125" t="str">
            <v>Operation</v>
          </cell>
          <cell r="I125" t="str">
            <v>Cleaning &amp; Security</v>
          </cell>
          <cell r="J125" t="str">
            <v>Security</v>
          </cell>
          <cell r="K125" t="str">
            <v>Crew</v>
          </cell>
          <cell r="L125" t="str">
            <v>3200760092</v>
          </cell>
          <cell r="M125">
            <v>21</v>
          </cell>
          <cell r="N125">
            <v>25</v>
          </cell>
          <cell r="O125">
            <v>2750136</v>
          </cell>
          <cell r="P125">
            <v>0</v>
          </cell>
          <cell r="Q125">
            <v>0</v>
          </cell>
          <cell r="R125">
            <v>2750136</v>
          </cell>
          <cell r="S125">
            <v>10000</v>
          </cell>
          <cell r="T125">
            <v>210000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110005</v>
          </cell>
          <cell r="Z125">
            <v>124856</v>
          </cell>
          <cell r="AA125">
            <v>55003</v>
          </cell>
          <cell r="AC125">
            <v>2960136</v>
          </cell>
          <cell r="AD125">
            <v>27501</v>
          </cell>
          <cell r="AE125">
            <v>55003</v>
          </cell>
          <cell r="AF125">
            <v>27501</v>
          </cell>
          <cell r="AG125">
            <v>0</v>
          </cell>
          <cell r="AH125">
            <v>0</v>
          </cell>
          <cell r="AI125">
            <v>0</v>
          </cell>
        </row>
        <row r="126">
          <cell r="B126" t="str">
            <v>02-0122-001</v>
          </cell>
          <cell r="C126" t="str">
            <v>Bandung Arifin</v>
          </cell>
          <cell r="D126" t="str">
            <v>Kontrak</v>
          </cell>
          <cell r="E126" t="str">
            <v>Aktif</v>
          </cell>
          <cell r="G126">
            <v>40</v>
          </cell>
          <cell r="H126" t="str">
            <v>Procurement &amp; GA</v>
          </cell>
          <cell r="I126" t="str">
            <v>GA</v>
          </cell>
          <cell r="J126" t="str">
            <v>GA Crew</v>
          </cell>
          <cell r="K126" t="str">
            <v>Crew</v>
          </cell>
          <cell r="L126" t="str">
            <v>2221142685</v>
          </cell>
          <cell r="M126">
            <v>18</v>
          </cell>
          <cell r="N126">
            <v>21</v>
          </cell>
          <cell r="O126">
            <v>3461640</v>
          </cell>
          <cell r="P126">
            <v>0</v>
          </cell>
          <cell r="Q126">
            <v>0</v>
          </cell>
          <cell r="R126">
            <v>3461640</v>
          </cell>
          <cell r="S126">
            <v>10000</v>
          </cell>
          <cell r="T126">
            <v>180000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138466</v>
          </cell>
          <cell r="Z126">
            <v>157158</v>
          </cell>
          <cell r="AA126">
            <v>69233</v>
          </cell>
          <cell r="AC126">
            <v>3641640</v>
          </cell>
          <cell r="AD126">
            <v>34616</v>
          </cell>
          <cell r="AE126">
            <v>69233</v>
          </cell>
          <cell r="AF126">
            <v>34616</v>
          </cell>
          <cell r="AG126">
            <v>0</v>
          </cell>
          <cell r="AH126">
            <v>0</v>
          </cell>
          <cell r="AI126">
            <v>0</v>
          </cell>
        </row>
        <row r="127">
          <cell r="B127" t="str">
            <v>02-0122-003</v>
          </cell>
          <cell r="C127" t="str">
            <v>Amin Wahyudi</v>
          </cell>
          <cell r="D127" t="str">
            <v>Kontrak</v>
          </cell>
          <cell r="E127" t="str">
            <v>Aktif</v>
          </cell>
          <cell r="G127">
            <v>41</v>
          </cell>
          <cell r="H127" t="str">
            <v>Operation</v>
          </cell>
          <cell r="I127" t="str">
            <v>Cleaning &amp; Security</v>
          </cell>
          <cell r="J127" t="str">
            <v>Security</v>
          </cell>
          <cell r="K127" t="str">
            <v>Crew</v>
          </cell>
          <cell r="L127" t="str">
            <v>3200859200</v>
          </cell>
          <cell r="M127">
            <v>22</v>
          </cell>
          <cell r="N127">
            <v>25</v>
          </cell>
          <cell r="O127">
            <v>2750136</v>
          </cell>
          <cell r="P127">
            <v>0</v>
          </cell>
          <cell r="Q127">
            <v>0</v>
          </cell>
          <cell r="R127">
            <v>2750136</v>
          </cell>
          <cell r="S127">
            <v>10000</v>
          </cell>
          <cell r="T127">
            <v>220000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110005</v>
          </cell>
          <cell r="Z127">
            <v>124856</v>
          </cell>
          <cell r="AA127">
            <v>55003</v>
          </cell>
          <cell r="AC127">
            <v>2970136</v>
          </cell>
          <cell r="AD127">
            <v>27501</v>
          </cell>
          <cell r="AE127">
            <v>55003</v>
          </cell>
          <cell r="AF127">
            <v>27501</v>
          </cell>
          <cell r="AG127">
            <v>0</v>
          </cell>
          <cell r="AH127">
            <v>0</v>
          </cell>
          <cell r="AI127">
            <v>0</v>
          </cell>
        </row>
        <row r="128">
          <cell r="B128" t="str">
            <v>02-0122-004</v>
          </cell>
          <cell r="C128" t="str">
            <v>Agus Purwanto</v>
          </cell>
          <cell r="D128" t="str">
            <v>Kontrak</v>
          </cell>
          <cell r="E128" t="str">
            <v>Aktif</v>
          </cell>
          <cell r="G128">
            <v>38</v>
          </cell>
          <cell r="H128" t="str">
            <v>Operation</v>
          </cell>
          <cell r="I128" t="str">
            <v>Cleaning &amp; Security</v>
          </cell>
          <cell r="J128" t="str">
            <v>Security</v>
          </cell>
          <cell r="K128" t="str">
            <v>Crew</v>
          </cell>
          <cell r="L128" t="str">
            <v>2220251899</v>
          </cell>
          <cell r="M128">
            <v>20</v>
          </cell>
          <cell r="N128">
            <v>25</v>
          </cell>
          <cell r="O128">
            <v>2750136</v>
          </cell>
          <cell r="P128">
            <v>0</v>
          </cell>
          <cell r="Q128">
            <v>0</v>
          </cell>
          <cell r="R128">
            <v>2750136</v>
          </cell>
          <cell r="S128">
            <v>10000</v>
          </cell>
          <cell r="T128">
            <v>200000</v>
          </cell>
          <cell r="U128">
            <v>0</v>
          </cell>
          <cell r="V128">
            <v>55639</v>
          </cell>
          <cell r="W128">
            <v>0</v>
          </cell>
          <cell r="X128">
            <v>0</v>
          </cell>
          <cell r="Y128">
            <v>110005</v>
          </cell>
          <cell r="Z128">
            <v>124856</v>
          </cell>
          <cell r="AA128">
            <v>55003</v>
          </cell>
          <cell r="AC128">
            <v>3005775</v>
          </cell>
          <cell r="AD128">
            <v>27501</v>
          </cell>
          <cell r="AE128">
            <v>55003</v>
          </cell>
          <cell r="AF128">
            <v>27501</v>
          </cell>
          <cell r="AG128">
            <v>0</v>
          </cell>
          <cell r="AH128">
            <v>0</v>
          </cell>
          <cell r="AI128">
            <v>27501</v>
          </cell>
        </row>
        <row r="129">
          <cell r="B129" t="str">
            <v>02-0122-007</v>
          </cell>
          <cell r="C129" t="str">
            <v>Selvianingsih</v>
          </cell>
          <cell r="D129" t="str">
            <v>Kontrak</v>
          </cell>
          <cell r="E129" t="str">
            <v>Aktif</v>
          </cell>
          <cell r="G129">
            <v>41</v>
          </cell>
          <cell r="H129" t="str">
            <v>Operation</v>
          </cell>
          <cell r="I129" t="str">
            <v>Operation</v>
          </cell>
          <cell r="J129" t="str">
            <v>Operation Crew</v>
          </cell>
          <cell r="K129" t="str">
            <v>Crew</v>
          </cell>
          <cell r="L129" t="str">
            <v>3200862561</v>
          </cell>
          <cell r="M129">
            <v>20</v>
          </cell>
          <cell r="N129">
            <v>25</v>
          </cell>
          <cell r="O129">
            <v>2750136</v>
          </cell>
          <cell r="P129">
            <v>0</v>
          </cell>
          <cell r="Q129">
            <v>0</v>
          </cell>
          <cell r="R129">
            <v>2750136</v>
          </cell>
          <cell r="S129">
            <v>10000</v>
          </cell>
          <cell r="T129">
            <v>200000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110005</v>
          </cell>
          <cell r="Z129">
            <v>124856</v>
          </cell>
          <cell r="AA129">
            <v>55003</v>
          </cell>
          <cell r="AC129">
            <v>2950136</v>
          </cell>
          <cell r="AD129">
            <v>27501</v>
          </cell>
          <cell r="AE129">
            <v>55003</v>
          </cell>
          <cell r="AF129">
            <v>27501</v>
          </cell>
          <cell r="AG129">
            <v>0</v>
          </cell>
          <cell r="AH129">
            <v>0</v>
          </cell>
          <cell r="AI129">
            <v>0</v>
          </cell>
        </row>
        <row r="130">
          <cell r="B130" t="str">
            <v>02-0122-008</v>
          </cell>
          <cell r="C130" t="str">
            <v>Arga Deva Prayoga</v>
          </cell>
          <cell r="D130" t="str">
            <v>Kontrak</v>
          </cell>
          <cell r="E130" t="str">
            <v>Aktif</v>
          </cell>
          <cell r="G130">
            <v>41</v>
          </cell>
          <cell r="H130" t="str">
            <v>Operation</v>
          </cell>
          <cell r="I130" t="str">
            <v>Operation</v>
          </cell>
          <cell r="J130" t="str">
            <v>Operation Crew</v>
          </cell>
          <cell r="K130" t="str">
            <v>Crew</v>
          </cell>
          <cell r="L130" t="str">
            <v>1820662756</v>
          </cell>
          <cell r="M130">
            <v>20</v>
          </cell>
          <cell r="N130">
            <v>25</v>
          </cell>
          <cell r="O130">
            <v>2750136</v>
          </cell>
          <cell r="P130">
            <v>0</v>
          </cell>
          <cell r="Q130">
            <v>0</v>
          </cell>
          <cell r="R130">
            <v>2750136</v>
          </cell>
          <cell r="S130">
            <v>10000</v>
          </cell>
          <cell r="T130">
            <v>200000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110005</v>
          </cell>
          <cell r="Z130">
            <v>124856</v>
          </cell>
          <cell r="AA130">
            <v>55003</v>
          </cell>
          <cell r="AC130">
            <v>2950136</v>
          </cell>
          <cell r="AD130">
            <v>27501</v>
          </cell>
          <cell r="AE130">
            <v>55003</v>
          </cell>
          <cell r="AF130">
            <v>27501</v>
          </cell>
          <cell r="AG130">
            <v>0</v>
          </cell>
          <cell r="AH130">
            <v>0</v>
          </cell>
          <cell r="AI130">
            <v>0</v>
          </cell>
        </row>
        <row r="131">
          <cell r="B131" t="str">
            <v>02-0122-010</v>
          </cell>
          <cell r="C131" t="str">
            <v>Oksan Farhan Jauhary</v>
          </cell>
          <cell r="D131" t="str">
            <v>Kontrak</v>
          </cell>
          <cell r="E131" t="str">
            <v>Aktif</v>
          </cell>
          <cell r="G131">
            <v>41</v>
          </cell>
          <cell r="H131" t="str">
            <v>Operation</v>
          </cell>
          <cell r="I131" t="str">
            <v>Operation</v>
          </cell>
          <cell r="J131" t="str">
            <v>Operation Crew</v>
          </cell>
          <cell r="K131" t="str">
            <v>Crew</v>
          </cell>
          <cell r="L131" t="str">
            <v>3200833294</v>
          </cell>
          <cell r="M131">
            <v>21</v>
          </cell>
          <cell r="N131">
            <v>25</v>
          </cell>
          <cell r="O131">
            <v>2750136</v>
          </cell>
          <cell r="P131">
            <v>0</v>
          </cell>
          <cell r="Q131">
            <v>0</v>
          </cell>
          <cell r="R131">
            <v>2750136</v>
          </cell>
          <cell r="S131">
            <v>10000</v>
          </cell>
          <cell r="T131">
            <v>210000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110005</v>
          </cell>
          <cell r="Z131">
            <v>124856</v>
          </cell>
          <cell r="AA131">
            <v>55003</v>
          </cell>
          <cell r="AC131">
            <v>2960136</v>
          </cell>
          <cell r="AD131">
            <v>27501</v>
          </cell>
          <cell r="AE131">
            <v>55003</v>
          </cell>
          <cell r="AF131">
            <v>27501</v>
          </cell>
          <cell r="AG131">
            <v>0</v>
          </cell>
          <cell r="AH131">
            <v>0</v>
          </cell>
          <cell r="AI131">
            <v>0</v>
          </cell>
        </row>
        <row r="132">
          <cell r="B132" t="str">
            <v>02-0122-012</v>
          </cell>
          <cell r="C132" t="str">
            <v>Reyfaldi Chandra Maulana</v>
          </cell>
          <cell r="D132" t="str">
            <v>Kontrak</v>
          </cell>
          <cell r="E132" t="str">
            <v>Aktif</v>
          </cell>
          <cell r="G132">
            <v>41</v>
          </cell>
          <cell r="H132" t="str">
            <v>Operation</v>
          </cell>
          <cell r="I132" t="str">
            <v>Operation</v>
          </cell>
          <cell r="J132" t="str">
            <v>Operation Crew</v>
          </cell>
          <cell r="K132" t="str">
            <v>Crew</v>
          </cell>
          <cell r="L132" t="str">
            <v>0131683641</v>
          </cell>
          <cell r="M132">
            <v>20</v>
          </cell>
          <cell r="N132">
            <v>25</v>
          </cell>
          <cell r="O132">
            <v>2750136</v>
          </cell>
          <cell r="P132">
            <v>0</v>
          </cell>
          <cell r="Q132">
            <v>0</v>
          </cell>
          <cell r="R132">
            <v>2750136</v>
          </cell>
          <cell r="S132">
            <v>10000</v>
          </cell>
          <cell r="T132">
            <v>200000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110005</v>
          </cell>
          <cell r="Z132">
            <v>124856</v>
          </cell>
          <cell r="AA132">
            <v>55003</v>
          </cell>
          <cell r="AC132">
            <v>2950136</v>
          </cell>
          <cell r="AD132">
            <v>27501</v>
          </cell>
          <cell r="AE132">
            <v>55003</v>
          </cell>
          <cell r="AF132">
            <v>27501</v>
          </cell>
          <cell r="AG132">
            <v>0</v>
          </cell>
          <cell r="AH132">
            <v>0</v>
          </cell>
          <cell r="AI132">
            <v>0</v>
          </cell>
        </row>
        <row r="133">
          <cell r="B133" t="str">
            <v>02-0122-013</v>
          </cell>
          <cell r="C133" t="str">
            <v>Tri Yudi Prasetiyo</v>
          </cell>
          <cell r="D133" t="str">
            <v>Kontrak</v>
          </cell>
          <cell r="E133" t="str">
            <v>Aktif</v>
          </cell>
          <cell r="G133">
            <v>41</v>
          </cell>
          <cell r="H133" t="str">
            <v>Operation</v>
          </cell>
          <cell r="I133" t="str">
            <v>Operation</v>
          </cell>
          <cell r="J133" t="str">
            <v>Operation Crew</v>
          </cell>
          <cell r="K133" t="str">
            <v>Crew</v>
          </cell>
          <cell r="L133" t="str">
            <v>4040492998</v>
          </cell>
          <cell r="M133">
            <v>21</v>
          </cell>
          <cell r="N133">
            <v>25</v>
          </cell>
          <cell r="O133">
            <v>2750136</v>
          </cell>
          <cell r="P133">
            <v>0</v>
          </cell>
          <cell r="Q133">
            <v>0</v>
          </cell>
          <cell r="R133">
            <v>2750136</v>
          </cell>
          <cell r="S133">
            <v>10000</v>
          </cell>
          <cell r="T133">
            <v>210000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110005</v>
          </cell>
          <cell r="Z133">
            <v>124856</v>
          </cell>
          <cell r="AA133">
            <v>55003</v>
          </cell>
          <cell r="AC133">
            <v>2960136</v>
          </cell>
          <cell r="AD133">
            <v>27501</v>
          </cell>
          <cell r="AE133">
            <v>55003</v>
          </cell>
          <cell r="AF133">
            <v>27501</v>
          </cell>
          <cell r="AG133">
            <v>0</v>
          </cell>
          <cell r="AH133">
            <v>0</v>
          </cell>
          <cell r="AI133">
            <v>0</v>
          </cell>
        </row>
        <row r="134">
          <cell r="B134" t="str">
            <v>02-0122-014</v>
          </cell>
          <cell r="C134" t="str">
            <v>Fista Salsabila</v>
          </cell>
          <cell r="D134" t="str">
            <v>Kontrak</v>
          </cell>
          <cell r="E134" t="str">
            <v>Aktif</v>
          </cell>
          <cell r="G134">
            <v>41</v>
          </cell>
          <cell r="H134" t="str">
            <v>Inpark Revenue</v>
          </cell>
          <cell r="I134" t="str">
            <v>Inpark Revenue Operational</v>
          </cell>
          <cell r="J134" t="str">
            <v>Inpark Revenue Operational Crew</v>
          </cell>
          <cell r="K134" t="str">
            <v>Crew</v>
          </cell>
          <cell r="L134" t="str">
            <v>0131683714</v>
          </cell>
          <cell r="M134">
            <v>21</v>
          </cell>
          <cell r="N134">
            <v>25</v>
          </cell>
          <cell r="O134">
            <v>2750136</v>
          </cell>
          <cell r="P134">
            <v>0</v>
          </cell>
          <cell r="Q134">
            <v>0</v>
          </cell>
          <cell r="R134">
            <v>2750136</v>
          </cell>
          <cell r="S134">
            <v>10000</v>
          </cell>
          <cell r="T134">
            <v>210000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110005</v>
          </cell>
          <cell r="Z134">
            <v>124856</v>
          </cell>
          <cell r="AA134">
            <v>55003</v>
          </cell>
          <cell r="AC134">
            <v>2960136</v>
          </cell>
          <cell r="AD134">
            <v>27501</v>
          </cell>
          <cell r="AE134">
            <v>55003</v>
          </cell>
          <cell r="AF134">
            <v>27501</v>
          </cell>
          <cell r="AG134">
            <v>0</v>
          </cell>
          <cell r="AH134">
            <v>0</v>
          </cell>
          <cell r="AI134">
            <v>0</v>
          </cell>
        </row>
        <row r="135">
          <cell r="B135" t="str">
            <v>02-0122-015</v>
          </cell>
          <cell r="C135" t="str">
            <v>Yudo Ardiantoro</v>
          </cell>
          <cell r="D135" t="str">
            <v>Kontrak</v>
          </cell>
          <cell r="E135" t="str">
            <v>Aktif</v>
          </cell>
          <cell r="G135">
            <v>40</v>
          </cell>
          <cell r="H135" t="str">
            <v>Finance &amp; Accounting</v>
          </cell>
          <cell r="I135" t="str">
            <v>Warehouse</v>
          </cell>
          <cell r="J135" t="str">
            <v>Warehouse SPV</v>
          </cell>
          <cell r="K135" t="str">
            <v>SPV</v>
          </cell>
          <cell r="L135" t="str">
            <v>8715958402</v>
          </cell>
          <cell r="M135">
            <v>18</v>
          </cell>
          <cell r="N135">
            <v>21</v>
          </cell>
          <cell r="O135">
            <v>3360000</v>
          </cell>
          <cell r="P135">
            <v>1000000</v>
          </cell>
          <cell r="Q135">
            <v>0</v>
          </cell>
          <cell r="R135">
            <v>4360000</v>
          </cell>
          <cell r="S135">
            <v>19000</v>
          </cell>
          <cell r="T135">
            <v>342000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174400</v>
          </cell>
          <cell r="Z135">
            <v>197944</v>
          </cell>
          <cell r="AA135">
            <v>87200</v>
          </cell>
          <cell r="AC135">
            <v>4702000</v>
          </cell>
          <cell r="AD135">
            <v>43600</v>
          </cell>
          <cell r="AE135">
            <v>87200</v>
          </cell>
          <cell r="AF135">
            <v>43600</v>
          </cell>
          <cell r="AG135">
            <v>0</v>
          </cell>
          <cell r="AH135">
            <v>0</v>
          </cell>
          <cell r="AI135">
            <v>0</v>
          </cell>
        </row>
        <row r="136">
          <cell r="B136" t="str">
            <v>02-0222-019</v>
          </cell>
          <cell r="C136" t="str">
            <v>Anggra Heri Pratama</v>
          </cell>
          <cell r="D136" t="str">
            <v>Kontrak</v>
          </cell>
          <cell r="E136" t="str">
            <v>Aktif</v>
          </cell>
          <cell r="G136">
            <v>40</v>
          </cell>
          <cell r="H136" t="str">
            <v>Operation</v>
          </cell>
          <cell r="I136" t="str">
            <v>Operation</v>
          </cell>
          <cell r="J136" t="str">
            <v>Operation Crew</v>
          </cell>
          <cell r="K136" t="str">
            <v>Crew</v>
          </cell>
          <cell r="L136" t="str">
            <v>3200862651</v>
          </cell>
          <cell r="M136">
            <v>20</v>
          </cell>
          <cell r="N136">
            <v>25</v>
          </cell>
          <cell r="O136">
            <v>2750136</v>
          </cell>
          <cell r="P136">
            <v>0</v>
          </cell>
          <cell r="Q136">
            <v>0</v>
          </cell>
          <cell r="R136">
            <v>2750136</v>
          </cell>
          <cell r="S136">
            <v>10000</v>
          </cell>
          <cell r="T136">
            <v>200000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110005</v>
          </cell>
          <cell r="Z136">
            <v>124856</v>
          </cell>
          <cell r="AA136">
            <v>55003</v>
          </cell>
          <cell r="AC136">
            <v>2950136</v>
          </cell>
          <cell r="AD136">
            <v>27501</v>
          </cell>
          <cell r="AE136">
            <v>55003</v>
          </cell>
          <cell r="AF136">
            <v>27501</v>
          </cell>
          <cell r="AG136">
            <v>0</v>
          </cell>
          <cell r="AH136">
            <v>0</v>
          </cell>
          <cell r="AI136">
            <v>0</v>
          </cell>
        </row>
        <row r="137">
          <cell r="B137" t="str">
            <v>02-0222-020</v>
          </cell>
          <cell r="C137" t="str">
            <v>Ryan</v>
          </cell>
          <cell r="D137" t="str">
            <v>Kontrak</v>
          </cell>
          <cell r="E137" t="str">
            <v>Aktif</v>
          </cell>
          <cell r="G137">
            <v>40</v>
          </cell>
          <cell r="H137" t="str">
            <v>Operation</v>
          </cell>
          <cell r="I137" t="str">
            <v>Operation</v>
          </cell>
          <cell r="J137" t="str">
            <v>Operation Crew</v>
          </cell>
          <cell r="K137" t="str">
            <v>Crew</v>
          </cell>
          <cell r="L137" t="str">
            <v>3200821369</v>
          </cell>
          <cell r="M137">
            <v>21</v>
          </cell>
          <cell r="N137">
            <v>25</v>
          </cell>
          <cell r="O137">
            <v>2750136</v>
          </cell>
          <cell r="P137">
            <v>0</v>
          </cell>
          <cell r="Q137">
            <v>0</v>
          </cell>
          <cell r="R137">
            <v>2750136</v>
          </cell>
          <cell r="S137">
            <v>10000</v>
          </cell>
          <cell r="T137">
            <v>210000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110005</v>
          </cell>
          <cell r="Z137">
            <v>124856</v>
          </cell>
          <cell r="AA137">
            <v>55003</v>
          </cell>
          <cell r="AC137">
            <v>2960136</v>
          </cell>
          <cell r="AD137">
            <v>27501</v>
          </cell>
          <cell r="AE137">
            <v>55003</v>
          </cell>
          <cell r="AF137">
            <v>27501</v>
          </cell>
          <cell r="AG137">
            <v>0</v>
          </cell>
          <cell r="AH137">
            <v>0</v>
          </cell>
          <cell r="AI137">
            <v>0</v>
          </cell>
        </row>
        <row r="138">
          <cell r="B138" t="str">
            <v>02-0222-021</v>
          </cell>
          <cell r="C138" t="str">
            <v>Meylisa Setyaning Ayu</v>
          </cell>
          <cell r="D138" t="str">
            <v>Kontrak</v>
          </cell>
          <cell r="E138" t="str">
            <v>Aktif</v>
          </cell>
          <cell r="G138">
            <v>40</v>
          </cell>
          <cell r="H138" t="str">
            <v>Sales</v>
          </cell>
          <cell r="I138" t="str">
            <v>Sales</v>
          </cell>
          <cell r="J138" t="str">
            <v>Admin Sales</v>
          </cell>
          <cell r="K138" t="str">
            <v>Crew</v>
          </cell>
          <cell r="L138" t="str">
            <v>0131680278</v>
          </cell>
          <cell r="M138">
            <v>17</v>
          </cell>
          <cell r="N138">
            <v>21</v>
          </cell>
          <cell r="O138">
            <v>2750136</v>
          </cell>
          <cell r="P138">
            <v>0</v>
          </cell>
          <cell r="Q138">
            <v>0</v>
          </cell>
          <cell r="R138">
            <v>2750136</v>
          </cell>
          <cell r="S138">
            <v>10000</v>
          </cell>
          <cell r="T138">
            <v>170000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110005</v>
          </cell>
          <cell r="Z138">
            <v>124856</v>
          </cell>
          <cell r="AA138">
            <v>55003</v>
          </cell>
          <cell r="AC138">
            <v>2920136</v>
          </cell>
          <cell r="AD138">
            <v>27501</v>
          </cell>
          <cell r="AE138">
            <v>55003</v>
          </cell>
          <cell r="AF138">
            <v>27501</v>
          </cell>
          <cell r="AG138">
            <v>0</v>
          </cell>
          <cell r="AH138">
            <v>0</v>
          </cell>
          <cell r="AI138">
            <v>0</v>
          </cell>
        </row>
        <row r="139">
          <cell r="B139" t="str">
            <v>02-0222-022</v>
          </cell>
          <cell r="C139" t="str">
            <v>Faris Afifarya Fathin</v>
          </cell>
          <cell r="D139" t="str">
            <v>Kontrak</v>
          </cell>
          <cell r="E139" t="str">
            <v>Aktif</v>
          </cell>
          <cell r="G139">
            <v>40</v>
          </cell>
          <cell r="H139" t="str">
            <v>Operation</v>
          </cell>
          <cell r="I139" t="str">
            <v>Operation</v>
          </cell>
          <cell r="J139" t="str">
            <v>Entertainment Crew</v>
          </cell>
          <cell r="K139" t="str">
            <v>Crew</v>
          </cell>
          <cell r="L139" t="str">
            <v>4260561834</v>
          </cell>
          <cell r="M139">
            <v>17</v>
          </cell>
          <cell r="N139">
            <v>21</v>
          </cell>
          <cell r="O139">
            <v>2750136</v>
          </cell>
          <cell r="P139">
            <v>0</v>
          </cell>
          <cell r="Q139">
            <v>0</v>
          </cell>
          <cell r="R139">
            <v>2750136</v>
          </cell>
          <cell r="S139">
            <v>10000</v>
          </cell>
          <cell r="T139">
            <v>170000</v>
          </cell>
          <cell r="U139">
            <v>0</v>
          </cell>
          <cell r="V139">
            <v>119225</v>
          </cell>
          <cell r="W139">
            <v>0</v>
          </cell>
          <cell r="X139">
            <v>0</v>
          </cell>
          <cell r="Y139">
            <v>110005</v>
          </cell>
          <cell r="Z139">
            <v>124856</v>
          </cell>
          <cell r="AA139">
            <v>55003</v>
          </cell>
          <cell r="AC139">
            <v>3039361</v>
          </cell>
          <cell r="AD139">
            <v>27501</v>
          </cell>
          <cell r="AE139">
            <v>55003</v>
          </cell>
          <cell r="AF139">
            <v>27501</v>
          </cell>
          <cell r="AG139">
            <v>0</v>
          </cell>
          <cell r="AH139">
            <v>0</v>
          </cell>
          <cell r="AI139">
            <v>0</v>
          </cell>
        </row>
        <row r="140">
          <cell r="B140" t="str">
            <v>02-0222-023</v>
          </cell>
          <cell r="C140" t="str">
            <v>Ronni Furroni</v>
          </cell>
          <cell r="D140" t="str">
            <v>Kontrak</v>
          </cell>
          <cell r="E140" t="str">
            <v>Aktif</v>
          </cell>
          <cell r="G140">
            <v>40</v>
          </cell>
          <cell r="H140" t="str">
            <v>Operation</v>
          </cell>
          <cell r="I140" t="str">
            <v>Operation</v>
          </cell>
          <cell r="J140" t="str">
            <v>Operation Crew</v>
          </cell>
          <cell r="K140" t="str">
            <v>Crew</v>
          </cell>
          <cell r="L140" t="str">
            <v>0131676246</v>
          </cell>
          <cell r="M140">
            <v>21</v>
          </cell>
          <cell r="N140">
            <v>25</v>
          </cell>
          <cell r="O140">
            <v>2750136</v>
          </cell>
          <cell r="P140">
            <v>0</v>
          </cell>
          <cell r="Q140">
            <v>0</v>
          </cell>
          <cell r="R140">
            <v>2750136</v>
          </cell>
          <cell r="S140">
            <v>10000</v>
          </cell>
          <cell r="T140">
            <v>210000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110005</v>
          </cell>
          <cell r="Z140">
            <v>124856</v>
          </cell>
          <cell r="AA140">
            <v>55003</v>
          </cell>
          <cell r="AC140">
            <v>2960136</v>
          </cell>
          <cell r="AD140">
            <v>27501</v>
          </cell>
          <cell r="AE140">
            <v>55003</v>
          </cell>
          <cell r="AF140">
            <v>27501</v>
          </cell>
          <cell r="AG140">
            <v>0</v>
          </cell>
          <cell r="AH140">
            <v>0</v>
          </cell>
          <cell r="AI140">
            <v>0</v>
          </cell>
        </row>
        <row r="141">
          <cell r="B141" t="str">
            <v>02-0222-024</v>
          </cell>
          <cell r="C141" t="str">
            <v>Muhamad Khaerul Umam</v>
          </cell>
          <cell r="D141" t="str">
            <v>Kontrak</v>
          </cell>
          <cell r="E141" t="str">
            <v>Aktif</v>
          </cell>
          <cell r="G141">
            <v>40</v>
          </cell>
          <cell r="H141" t="str">
            <v>Operation</v>
          </cell>
          <cell r="I141" t="str">
            <v>Operation</v>
          </cell>
          <cell r="J141" t="str">
            <v>Operation Crew</v>
          </cell>
          <cell r="K141" t="str">
            <v>Crew</v>
          </cell>
          <cell r="L141" t="str">
            <v>0131681428</v>
          </cell>
          <cell r="M141">
            <v>21</v>
          </cell>
          <cell r="N141">
            <v>25</v>
          </cell>
          <cell r="O141">
            <v>2750136</v>
          </cell>
          <cell r="P141">
            <v>0</v>
          </cell>
          <cell r="Q141">
            <v>0</v>
          </cell>
          <cell r="R141">
            <v>2750136</v>
          </cell>
          <cell r="S141">
            <v>10000</v>
          </cell>
          <cell r="T141">
            <v>210000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110005</v>
          </cell>
          <cell r="Z141">
            <v>124856</v>
          </cell>
          <cell r="AA141">
            <v>55003</v>
          </cell>
          <cell r="AC141">
            <v>2960136</v>
          </cell>
          <cell r="AD141">
            <v>27501</v>
          </cell>
          <cell r="AE141">
            <v>55003</v>
          </cell>
          <cell r="AF141">
            <v>27501</v>
          </cell>
          <cell r="AG141">
            <v>0</v>
          </cell>
          <cell r="AH141">
            <v>0</v>
          </cell>
          <cell r="AI141">
            <v>0</v>
          </cell>
        </row>
        <row r="142">
          <cell r="B142" t="str">
            <v>02-0222-025</v>
          </cell>
          <cell r="C142" t="str">
            <v>Riska Siti Nur Janah</v>
          </cell>
          <cell r="D142" t="str">
            <v>Kontrak</v>
          </cell>
          <cell r="E142" t="str">
            <v>Aktif</v>
          </cell>
          <cell r="G142">
            <v>40</v>
          </cell>
          <cell r="H142" t="str">
            <v>Inpark Revenue</v>
          </cell>
          <cell r="I142" t="str">
            <v>Inpark Revenue Operational</v>
          </cell>
          <cell r="J142" t="str">
            <v>Inpark Revenue Operational Crew</v>
          </cell>
          <cell r="K142" t="str">
            <v>Crew</v>
          </cell>
          <cell r="L142" t="str">
            <v>0131684575</v>
          </cell>
          <cell r="M142">
            <v>21</v>
          </cell>
          <cell r="N142">
            <v>25</v>
          </cell>
          <cell r="O142">
            <v>2750136</v>
          </cell>
          <cell r="P142">
            <v>0</v>
          </cell>
          <cell r="Q142">
            <v>0</v>
          </cell>
          <cell r="R142">
            <v>2750136</v>
          </cell>
          <cell r="S142">
            <v>10000</v>
          </cell>
          <cell r="T142">
            <v>210000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110005</v>
          </cell>
          <cell r="Z142">
            <v>124856</v>
          </cell>
          <cell r="AA142">
            <v>55003</v>
          </cell>
          <cell r="AC142">
            <v>2960136</v>
          </cell>
          <cell r="AD142">
            <v>27501</v>
          </cell>
          <cell r="AE142">
            <v>55003</v>
          </cell>
          <cell r="AF142">
            <v>27501</v>
          </cell>
          <cell r="AG142">
            <v>0</v>
          </cell>
          <cell r="AH142">
            <v>0</v>
          </cell>
          <cell r="AI142">
            <v>0</v>
          </cell>
        </row>
        <row r="143">
          <cell r="B143" t="str">
            <v>02-0222-026</v>
          </cell>
          <cell r="C143" t="str">
            <v>Aris Arfianto</v>
          </cell>
          <cell r="D143" t="str">
            <v>Kontrak</v>
          </cell>
          <cell r="E143" t="str">
            <v>Aktif</v>
          </cell>
          <cell r="G143">
            <v>40</v>
          </cell>
          <cell r="H143" t="str">
            <v>Maintenance</v>
          </cell>
          <cell r="I143" t="str">
            <v>Maintenance</v>
          </cell>
          <cell r="J143" t="str">
            <v>ME Crew</v>
          </cell>
          <cell r="K143" t="str">
            <v>Crew</v>
          </cell>
          <cell r="L143" t="str">
            <v>6140625106</v>
          </cell>
          <cell r="M143">
            <v>15</v>
          </cell>
          <cell r="N143">
            <v>25</v>
          </cell>
          <cell r="O143">
            <v>2750136</v>
          </cell>
          <cell r="P143">
            <v>0</v>
          </cell>
          <cell r="Q143">
            <v>0</v>
          </cell>
          <cell r="R143">
            <v>2750136</v>
          </cell>
          <cell r="S143">
            <v>10000</v>
          </cell>
          <cell r="T143">
            <v>150000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110005</v>
          </cell>
          <cell r="Z143">
            <v>124856</v>
          </cell>
          <cell r="AA143">
            <v>55003</v>
          </cell>
          <cell r="AC143">
            <v>2900136</v>
          </cell>
          <cell r="AD143">
            <v>27501</v>
          </cell>
          <cell r="AE143">
            <v>55003</v>
          </cell>
          <cell r="AF143">
            <v>27501</v>
          </cell>
          <cell r="AG143">
            <v>0</v>
          </cell>
          <cell r="AH143">
            <v>0</v>
          </cell>
          <cell r="AI143">
            <v>0</v>
          </cell>
        </row>
        <row r="144">
          <cell r="B144" t="str">
            <v>02-0222-027</v>
          </cell>
          <cell r="C144" t="str">
            <v>Reza Zhainal Abhidin</v>
          </cell>
          <cell r="D144" t="str">
            <v>Tetap</v>
          </cell>
          <cell r="E144" t="str">
            <v>Aktif</v>
          </cell>
          <cell r="G144">
            <v>40</v>
          </cell>
          <cell r="H144" t="str">
            <v>IT</v>
          </cell>
          <cell r="I144" t="str">
            <v>Aplikasi &amp; System</v>
          </cell>
          <cell r="J144" t="str">
            <v>Programmer Officer</v>
          </cell>
          <cell r="K144" t="str">
            <v>Officer</v>
          </cell>
          <cell r="L144" t="str">
            <v>7750950871</v>
          </cell>
          <cell r="M144">
            <v>21</v>
          </cell>
          <cell r="N144">
            <v>21</v>
          </cell>
          <cell r="O144">
            <v>3586275</v>
          </cell>
          <cell r="P144">
            <v>500000</v>
          </cell>
          <cell r="Q144">
            <v>0</v>
          </cell>
          <cell r="R144">
            <v>4086275</v>
          </cell>
          <cell r="S144">
            <v>11900</v>
          </cell>
          <cell r="T144">
            <v>249900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163451</v>
          </cell>
          <cell r="Z144">
            <v>185517</v>
          </cell>
          <cell r="AA144">
            <v>81726</v>
          </cell>
          <cell r="AC144">
            <v>4336175</v>
          </cell>
          <cell r="AD144">
            <v>40863</v>
          </cell>
          <cell r="AE144">
            <v>81726</v>
          </cell>
          <cell r="AF144">
            <v>40863</v>
          </cell>
          <cell r="AG144">
            <v>0</v>
          </cell>
          <cell r="AH144">
            <v>0</v>
          </cell>
          <cell r="AI144">
            <v>0</v>
          </cell>
        </row>
        <row r="145">
          <cell r="B145" t="str">
            <v>02-0222-028</v>
          </cell>
          <cell r="C145" t="str">
            <v>Diah Ayu Puspita Ningrum</v>
          </cell>
          <cell r="D145" t="str">
            <v>Kontrak</v>
          </cell>
          <cell r="E145" t="str">
            <v>Aktif</v>
          </cell>
          <cell r="G145">
            <v>40</v>
          </cell>
          <cell r="H145" t="str">
            <v>Inpark Revenue</v>
          </cell>
          <cell r="I145" t="str">
            <v>Inpark Revenue Operational</v>
          </cell>
          <cell r="J145" t="str">
            <v>Inpark Revenue Operational Crew</v>
          </cell>
          <cell r="K145" t="str">
            <v>Crew</v>
          </cell>
          <cell r="L145" t="str">
            <v>0131352815</v>
          </cell>
          <cell r="M145">
            <v>21</v>
          </cell>
          <cell r="N145">
            <v>25</v>
          </cell>
          <cell r="O145">
            <v>2750136</v>
          </cell>
          <cell r="P145">
            <v>0</v>
          </cell>
          <cell r="Q145">
            <v>0</v>
          </cell>
          <cell r="R145">
            <v>2750136</v>
          </cell>
          <cell r="S145">
            <v>10000</v>
          </cell>
          <cell r="T145">
            <v>210000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110005</v>
          </cell>
          <cell r="Z145">
            <v>124856</v>
          </cell>
          <cell r="AA145">
            <v>55003</v>
          </cell>
          <cell r="AC145">
            <v>2960136</v>
          </cell>
          <cell r="AD145">
            <v>27501</v>
          </cell>
          <cell r="AE145">
            <v>55003</v>
          </cell>
          <cell r="AF145">
            <v>27501</v>
          </cell>
          <cell r="AG145">
            <v>0</v>
          </cell>
          <cell r="AH145">
            <v>0</v>
          </cell>
          <cell r="AI145">
            <v>0</v>
          </cell>
        </row>
        <row r="146">
          <cell r="B146" t="str">
            <v>02-0222-029</v>
          </cell>
          <cell r="C146" t="str">
            <v>Ngatno</v>
          </cell>
          <cell r="D146" t="str">
            <v>Kontrak</v>
          </cell>
          <cell r="E146" t="str">
            <v>Aktif</v>
          </cell>
          <cell r="G146">
            <v>40</v>
          </cell>
          <cell r="H146" t="str">
            <v>Maintenance</v>
          </cell>
          <cell r="I146" t="str">
            <v>Landscape &amp; Environment</v>
          </cell>
          <cell r="J146" t="str">
            <v>Landscape Crew</v>
          </cell>
          <cell r="K146" t="str">
            <v>Crew</v>
          </cell>
          <cell r="L146" t="str">
            <v>2221142995</v>
          </cell>
          <cell r="M146">
            <v>21</v>
          </cell>
          <cell r="N146">
            <v>25</v>
          </cell>
          <cell r="O146">
            <v>2750136</v>
          </cell>
          <cell r="P146">
            <v>0</v>
          </cell>
          <cell r="Q146">
            <v>0</v>
          </cell>
          <cell r="R146">
            <v>2750136</v>
          </cell>
          <cell r="S146">
            <v>10000</v>
          </cell>
          <cell r="T146">
            <v>210000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110005</v>
          </cell>
          <cell r="Z146">
            <v>124856</v>
          </cell>
          <cell r="AA146">
            <v>55003</v>
          </cell>
          <cell r="AC146">
            <v>2960136</v>
          </cell>
          <cell r="AD146">
            <v>27501</v>
          </cell>
          <cell r="AE146">
            <v>55003</v>
          </cell>
          <cell r="AF146">
            <v>27501</v>
          </cell>
          <cell r="AG146">
            <v>0</v>
          </cell>
          <cell r="AH146">
            <v>0</v>
          </cell>
          <cell r="AI146">
            <v>0</v>
          </cell>
        </row>
        <row r="147">
          <cell r="B147" t="str">
            <v>02-0222-030</v>
          </cell>
          <cell r="C147" t="str">
            <v>Surya Aditya Ahmad</v>
          </cell>
          <cell r="D147" t="str">
            <v>Kontrak</v>
          </cell>
          <cell r="E147" t="str">
            <v>Aktif</v>
          </cell>
          <cell r="G147">
            <v>40</v>
          </cell>
          <cell r="H147" t="str">
            <v>Operation</v>
          </cell>
          <cell r="I147" t="str">
            <v>Operation</v>
          </cell>
          <cell r="J147" t="str">
            <v>Operation Crew</v>
          </cell>
          <cell r="K147" t="str">
            <v>Crew</v>
          </cell>
          <cell r="L147" t="str">
            <v>3200869264</v>
          </cell>
          <cell r="M147">
            <v>20</v>
          </cell>
          <cell r="N147">
            <v>25</v>
          </cell>
          <cell r="O147">
            <v>2750136</v>
          </cell>
          <cell r="P147">
            <v>0</v>
          </cell>
          <cell r="Q147">
            <v>0</v>
          </cell>
          <cell r="R147">
            <v>2750136</v>
          </cell>
          <cell r="S147">
            <v>10000</v>
          </cell>
          <cell r="T147">
            <v>200000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110005</v>
          </cell>
          <cell r="Z147">
            <v>124856</v>
          </cell>
          <cell r="AA147">
            <v>55003</v>
          </cell>
          <cell r="AC147">
            <v>2950136</v>
          </cell>
          <cell r="AD147">
            <v>27501</v>
          </cell>
          <cell r="AE147">
            <v>55003</v>
          </cell>
          <cell r="AF147">
            <v>27501</v>
          </cell>
          <cell r="AG147">
            <v>0</v>
          </cell>
          <cell r="AH147">
            <v>0</v>
          </cell>
          <cell r="AI147">
            <v>0</v>
          </cell>
        </row>
        <row r="148">
          <cell r="B148" t="str">
            <v>02-0222-031</v>
          </cell>
          <cell r="C148" t="str">
            <v>Rizky Catur Fatmawati</v>
          </cell>
          <cell r="D148" t="str">
            <v>Kontrak</v>
          </cell>
          <cell r="E148" t="str">
            <v>Aktif</v>
          </cell>
          <cell r="G148">
            <v>40</v>
          </cell>
          <cell r="H148" t="str">
            <v>Operation</v>
          </cell>
          <cell r="I148" t="str">
            <v>Operation</v>
          </cell>
          <cell r="J148" t="str">
            <v>Operation Crew</v>
          </cell>
          <cell r="K148" t="str">
            <v>Crew</v>
          </cell>
          <cell r="L148" t="str">
            <v>1221699837</v>
          </cell>
          <cell r="M148">
            <v>21</v>
          </cell>
          <cell r="N148">
            <v>25</v>
          </cell>
          <cell r="O148">
            <v>2750136</v>
          </cell>
          <cell r="P148">
            <v>0</v>
          </cell>
          <cell r="Q148">
            <v>0</v>
          </cell>
          <cell r="R148">
            <v>2750136</v>
          </cell>
          <cell r="S148">
            <v>10000</v>
          </cell>
          <cell r="T148">
            <v>210000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110005</v>
          </cell>
          <cell r="Z148">
            <v>124856</v>
          </cell>
          <cell r="AA148">
            <v>55003</v>
          </cell>
          <cell r="AC148">
            <v>2960136</v>
          </cell>
          <cell r="AD148">
            <v>27501</v>
          </cell>
          <cell r="AE148">
            <v>55003</v>
          </cell>
          <cell r="AF148">
            <v>27501</v>
          </cell>
          <cell r="AG148">
            <v>0</v>
          </cell>
          <cell r="AH148">
            <v>0</v>
          </cell>
          <cell r="AI148">
            <v>0</v>
          </cell>
        </row>
        <row r="149">
          <cell r="B149" t="str">
            <v>02-0222-032</v>
          </cell>
          <cell r="C149" t="str">
            <v>Fajar Anjani</v>
          </cell>
          <cell r="D149" t="str">
            <v>Kontrak</v>
          </cell>
          <cell r="E149" t="str">
            <v>Aktif</v>
          </cell>
          <cell r="G149">
            <v>40</v>
          </cell>
          <cell r="H149" t="str">
            <v>Operation</v>
          </cell>
          <cell r="I149" t="str">
            <v>Operation</v>
          </cell>
          <cell r="J149" t="str">
            <v>Operation Crew</v>
          </cell>
          <cell r="K149" t="str">
            <v>Crew</v>
          </cell>
          <cell r="L149" t="str">
            <v>3200869248</v>
          </cell>
          <cell r="M149">
            <v>21</v>
          </cell>
          <cell r="N149">
            <v>25</v>
          </cell>
          <cell r="O149">
            <v>2750136</v>
          </cell>
          <cell r="P149">
            <v>0</v>
          </cell>
          <cell r="Q149">
            <v>0</v>
          </cell>
          <cell r="R149">
            <v>2750136</v>
          </cell>
          <cell r="S149">
            <v>10000</v>
          </cell>
          <cell r="T149">
            <v>210000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110005</v>
          </cell>
          <cell r="Z149">
            <v>124856</v>
          </cell>
          <cell r="AA149">
            <v>55003</v>
          </cell>
          <cell r="AC149">
            <v>2960136</v>
          </cell>
          <cell r="AD149">
            <v>27501</v>
          </cell>
          <cell r="AE149">
            <v>55003</v>
          </cell>
          <cell r="AF149">
            <v>27501</v>
          </cell>
          <cell r="AG149">
            <v>0</v>
          </cell>
          <cell r="AH149">
            <v>0</v>
          </cell>
          <cell r="AI149">
            <v>0</v>
          </cell>
        </row>
        <row r="150">
          <cell r="B150" t="str">
            <v>02-0222-033</v>
          </cell>
          <cell r="C150" t="str">
            <v>Putri Narwasturi Wikanto</v>
          </cell>
          <cell r="D150" t="str">
            <v>Kontrak</v>
          </cell>
          <cell r="E150" t="str">
            <v>Aktif</v>
          </cell>
          <cell r="G150">
            <v>40</v>
          </cell>
          <cell r="H150" t="str">
            <v>Operation</v>
          </cell>
          <cell r="I150" t="str">
            <v>Operation</v>
          </cell>
          <cell r="J150" t="str">
            <v>Admin Operation</v>
          </cell>
          <cell r="K150" t="str">
            <v>Crew</v>
          </cell>
          <cell r="L150" t="str">
            <v>0131698088</v>
          </cell>
          <cell r="M150">
            <v>19</v>
          </cell>
          <cell r="N150">
            <v>21</v>
          </cell>
          <cell r="O150">
            <v>2750136</v>
          </cell>
          <cell r="P150">
            <v>0</v>
          </cell>
          <cell r="Q150">
            <v>0</v>
          </cell>
          <cell r="R150">
            <v>2750136</v>
          </cell>
          <cell r="S150">
            <v>10000</v>
          </cell>
          <cell r="T150">
            <v>190000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110005</v>
          </cell>
          <cell r="Z150">
            <v>124856</v>
          </cell>
          <cell r="AA150">
            <v>55003</v>
          </cell>
          <cell r="AC150">
            <v>2940136</v>
          </cell>
          <cell r="AD150">
            <v>27501</v>
          </cell>
          <cell r="AE150">
            <v>55003</v>
          </cell>
          <cell r="AF150">
            <v>27501</v>
          </cell>
          <cell r="AG150">
            <v>0</v>
          </cell>
          <cell r="AH150">
            <v>0</v>
          </cell>
          <cell r="AI150">
            <v>0</v>
          </cell>
        </row>
        <row r="151">
          <cell r="B151" t="str">
            <v>02-0222-034</v>
          </cell>
          <cell r="C151" t="str">
            <v>Maksum Sangidu</v>
          </cell>
          <cell r="D151" t="str">
            <v>Kontrak</v>
          </cell>
          <cell r="E151" t="str">
            <v>Aktif</v>
          </cell>
          <cell r="G151">
            <v>40</v>
          </cell>
          <cell r="H151" t="str">
            <v>Procurement &amp; GA</v>
          </cell>
          <cell r="I151" t="str">
            <v>GA</v>
          </cell>
          <cell r="J151" t="str">
            <v>Driver</v>
          </cell>
          <cell r="K151" t="str">
            <v>Crew</v>
          </cell>
          <cell r="L151" t="str">
            <v>0131747631</v>
          </cell>
          <cell r="M151">
            <v>19</v>
          </cell>
          <cell r="N151">
            <v>21</v>
          </cell>
          <cell r="O151">
            <v>2750136</v>
          </cell>
          <cell r="P151">
            <v>0</v>
          </cell>
          <cell r="Q151">
            <v>0</v>
          </cell>
          <cell r="R151">
            <v>2750136</v>
          </cell>
          <cell r="S151">
            <v>10000</v>
          </cell>
          <cell r="T151">
            <v>190000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110005</v>
          </cell>
          <cell r="Z151">
            <v>124856</v>
          </cell>
          <cell r="AA151">
            <v>55003</v>
          </cell>
          <cell r="AC151">
            <v>2940136</v>
          </cell>
          <cell r="AD151">
            <v>27501</v>
          </cell>
          <cell r="AE151">
            <v>55003</v>
          </cell>
          <cell r="AF151">
            <v>27501</v>
          </cell>
          <cell r="AG151">
            <v>0</v>
          </cell>
          <cell r="AH151">
            <v>0</v>
          </cell>
          <cell r="AI151">
            <v>0</v>
          </cell>
        </row>
        <row r="152">
          <cell r="B152" t="str">
            <v>02-0222-035</v>
          </cell>
          <cell r="C152" t="str">
            <v>Ngadiman</v>
          </cell>
          <cell r="D152" t="str">
            <v>Kontrak</v>
          </cell>
          <cell r="E152" t="str">
            <v>Aktif</v>
          </cell>
          <cell r="G152">
            <v>39</v>
          </cell>
          <cell r="H152" t="str">
            <v>Maintenance</v>
          </cell>
          <cell r="I152" t="str">
            <v>Civil &amp; Decoration</v>
          </cell>
          <cell r="J152" t="str">
            <v>Civil Crew</v>
          </cell>
          <cell r="K152" t="str">
            <v>Crew</v>
          </cell>
          <cell r="L152" t="str">
            <v>0131699891</v>
          </cell>
          <cell r="M152">
            <v>21</v>
          </cell>
          <cell r="N152">
            <v>25</v>
          </cell>
          <cell r="O152">
            <v>2750136</v>
          </cell>
          <cell r="P152">
            <v>0</v>
          </cell>
          <cell r="Q152">
            <v>0</v>
          </cell>
          <cell r="R152">
            <v>2750136</v>
          </cell>
          <cell r="S152">
            <v>10000</v>
          </cell>
          <cell r="T152">
            <v>210000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110005</v>
          </cell>
          <cell r="Z152">
            <v>124856</v>
          </cell>
          <cell r="AA152">
            <v>55003</v>
          </cell>
          <cell r="AC152">
            <v>2960136</v>
          </cell>
          <cell r="AD152">
            <v>27501</v>
          </cell>
          <cell r="AE152">
            <v>55003</v>
          </cell>
          <cell r="AF152">
            <v>27501</v>
          </cell>
          <cell r="AG152">
            <v>0</v>
          </cell>
          <cell r="AH152">
            <v>0</v>
          </cell>
          <cell r="AI152">
            <v>0</v>
          </cell>
        </row>
        <row r="153">
          <cell r="B153" t="str">
            <v>02-0222-036</v>
          </cell>
          <cell r="C153" t="str">
            <v>Sarju</v>
          </cell>
          <cell r="D153" t="str">
            <v>Kontrak</v>
          </cell>
          <cell r="E153" t="str">
            <v>Aktif</v>
          </cell>
          <cell r="G153">
            <v>39</v>
          </cell>
          <cell r="H153" t="str">
            <v>Maintenance</v>
          </cell>
          <cell r="I153" t="str">
            <v>Civil &amp; Decoration</v>
          </cell>
          <cell r="J153" t="str">
            <v>Civil Crew</v>
          </cell>
          <cell r="K153" t="str">
            <v>Crew</v>
          </cell>
          <cell r="L153" t="str">
            <v>0131699963</v>
          </cell>
          <cell r="M153">
            <v>21</v>
          </cell>
          <cell r="N153">
            <v>25</v>
          </cell>
          <cell r="O153">
            <v>2750136</v>
          </cell>
          <cell r="P153">
            <v>0</v>
          </cell>
          <cell r="Q153">
            <v>0</v>
          </cell>
          <cell r="R153">
            <v>2750136</v>
          </cell>
          <cell r="S153">
            <v>10000</v>
          </cell>
          <cell r="T153">
            <v>210000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110005</v>
          </cell>
          <cell r="Z153">
            <v>124856</v>
          </cell>
          <cell r="AA153">
            <v>55003</v>
          </cell>
          <cell r="AC153">
            <v>2960136</v>
          </cell>
          <cell r="AD153">
            <v>27501</v>
          </cell>
          <cell r="AE153">
            <v>55003</v>
          </cell>
          <cell r="AF153">
            <v>27501</v>
          </cell>
          <cell r="AG153">
            <v>0</v>
          </cell>
          <cell r="AH153">
            <v>0</v>
          </cell>
          <cell r="AI153">
            <v>0</v>
          </cell>
        </row>
        <row r="154">
          <cell r="B154" t="str">
            <v>02-0222-038</v>
          </cell>
          <cell r="C154" t="str">
            <v>Sugiyarto</v>
          </cell>
          <cell r="D154" t="str">
            <v>Kontrak</v>
          </cell>
          <cell r="E154" t="str">
            <v>Aktif</v>
          </cell>
          <cell r="G154">
            <v>38</v>
          </cell>
          <cell r="H154" t="str">
            <v>Operation</v>
          </cell>
          <cell r="I154" t="str">
            <v>Operation</v>
          </cell>
          <cell r="J154" t="str">
            <v>Angon Ingon Team Leader</v>
          </cell>
          <cell r="K154" t="str">
            <v>Crew</v>
          </cell>
          <cell r="L154" t="str">
            <v>0131768191</v>
          </cell>
          <cell r="M154">
            <v>21</v>
          </cell>
          <cell r="N154">
            <v>25</v>
          </cell>
          <cell r="O154">
            <v>2820980</v>
          </cell>
          <cell r="P154">
            <v>0</v>
          </cell>
          <cell r="Q154">
            <v>0</v>
          </cell>
          <cell r="R154">
            <v>2820980</v>
          </cell>
          <cell r="S154">
            <v>10000</v>
          </cell>
          <cell r="T154">
            <v>210000</v>
          </cell>
          <cell r="U154">
            <v>0</v>
          </cell>
          <cell r="V154">
            <v>0</v>
          </cell>
          <cell r="W154">
            <v>200000</v>
          </cell>
          <cell r="X154">
            <v>0</v>
          </cell>
          <cell r="Y154">
            <v>112839</v>
          </cell>
          <cell r="Z154">
            <v>128072</v>
          </cell>
          <cell r="AA154">
            <v>56420</v>
          </cell>
          <cell r="AC154">
            <v>3230980</v>
          </cell>
          <cell r="AD154">
            <v>28210</v>
          </cell>
          <cell r="AE154">
            <v>56420</v>
          </cell>
          <cell r="AF154">
            <v>28210</v>
          </cell>
          <cell r="AG154">
            <v>0</v>
          </cell>
          <cell r="AH154">
            <v>0</v>
          </cell>
          <cell r="AI154">
            <v>0</v>
          </cell>
        </row>
        <row r="155">
          <cell r="B155" t="str">
            <v>02-0222-039</v>
          </cell>
          <cell r="C155" t="str">
            <v>Salsalbillah Ramadhanti</v>
          </cell>
          <cell r="D155" t="str">
            <v>Kontrak</v>
          </cell>
          <cell r="E155" t="str">
            <v>Aktif</v>
          </cell>
          <cell r="G155">
            <v>46</v>
          </cell>
          <cell r="H155" t="str">
            <v>HR &amp; Legal</v>
          </cell>
          <cell r="I155" t="str">
            <v>HRM</v>
          </cell>
          <cell r="J155" t="str">
            <v>PJ HR Operational Officer</v>
          </cell>
          <cell r="K155" t="str">
            <v>Officer</v>
          </cell>
          <cell r="L155" t="str">
            <v>0131086171</v>
          </cell>
          <cell r="M155">
            <v>20</v>
          </cell>
          <cell r="N155">
            <v>21</v>
          </cell>
          <cell r="O155">
            <v>3080000</v>
          </cell>
          <cell r="P155">
            <v>500000</v>
          </cell>
          <cell r="Q155">
            <v>0</v>
          </cell>
          <cell r="R155">
            <v>3580000</v>
          </cell>
          <cell r="S155">
            <v>11900</v>
          </cell>
          <cell r="T155">
            <v>238000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143200</v>
          </cell>
          <cell r="Z155">
            <v>162532</v>
          </cell>
          <cell r="AA155">
            <v>71600</v>
          </cell>
          <cell r="AC155">
            <v>3818000</v>
          </cell>
          <cell r="AD155">
            <v>35800</v>
          </cell>
          <cell r="AE155">
            <v>71600</v>
          </cell>
          <cell r="AF155">
            <v>35800</v>
          </cell>
          <cell r="AG155">
            <v>0</v>
          </cell>
          <cell r="AH155">
            <v>0</v>
          </cell>
          <cell r="AI155">
            <v>0</v>
          </cell>
        </row>
        <row r="156">
          <cell r="B156" t="str">
            <v>02-0222-041</v>
          </cell>
          <cell r="C156" t="str">
            <v>Sutrisno</v>
          </cell>
          <cell r="D156" t="str">
            <v>Kontrak</v>
          </cell>
          <cell r="E156" t="str">
            <v>Aktif</v>
          </cell>
          <cell r="G156">
            <v>37</v>
          </cell>
          <cell r="H156" t="str">
            <v>Maintenance</v>
          </cell>
          <cell r="I156" t="str">
            <v>Landscape &amp; Environment</v>
          </cell>
          <cell r="J156" t="str">
            <v>Landscape Crew</v>
          </cell>
          <cell r="K156" t="str">
            <v>Crew</v>
          </cell>
          <cell r="L156" t="str">
            <v>3200886070</v>
          </cell>
          <cell r="M156">
            <v>21</v>
          </cell>
          <cell r="N156">
            <v>25</v>
          </cell>
          <cell r="O156">
            <v>3328500</v>
          </cell>
          <cell r="P156">
            <v>0</v>
          </cell>
          <cell r="Q156">
            <v>0</v>
          </cell>
          <cell r="R156">
            <v>3328500</v>
          </cell>
          <cell r="S156">
            <v>10000</v>
          </cell>
          <cell r="T156">
            <v>210000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151114</v>
          </cell>
          <cell r="AA156">
            <v>0</v>
          </cell>
          <cell r="AC156">
            <v>3538500</v>
          </cell>
          <cell r="AD156">
            <v>0</v>
          </cell>
          <cell r="AE156">
            <v>66570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</row>
        <row r="157">
          <cell r="B157" t="str">
            <v>02-0322-042</v>
          </cell>
          <cell r="C157" t="str">
            <v>Ferry Dwi Kurniawan</v>
          </cell>
          <cell r="D157" t="str">
            <v>Kontrak</v>
          </cell>
          <cell r="E157" t="str">
            <v>Aktif</v>
          </cell>
          <cell r="G157">
            <v>39</v>
          </cell>
          <cell r="H157" t="str">
            <v>Operation</v>
          </cell>
          <cell r="I157" t="str">
            <v>Operation</v>
          </cell>
          <cell r="J157" t="str">
            <v>Operation Crew</v>
          </cell>
          <cell r="K157" t="str">
            <v>Crew</v>
          </cell>
          <cell r="L157" t="str">
            <v>0131702948</v>
          </cell>
          <cell r="M157">
            <v>20</v>
          </cell>
          <cell r="N157">
            <v>25</v>
          </cell>
          <cell r="O157">
            <v>2750136</v>
          </cell>
          <cell r="P157">
            <v>0</v>
          </cell>
          <cell r="Q157">
            <v>0</v>
          </cell>
          <cell r="R157">
            <v>2750136</v>
          </cell>
          <cell r="S157">
            <v>10000</v>
          </cell>
          <cell r="T157">
            <v>200000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110005</v>
          </cell>
          <cell r="Z157">
            <v>124856</v>
          </cell>
          <cell r="AA157">
            <v>55003</v>
          </cell>
          <cell r="AC157">
            <v>2950136</v>
          </cell>
          <cell r="AD157">
            <v>27501</v>
          </cell>
          <cell r="AE157">
            <v>55003</v>
          </cell>
          <cell r="AF157">
            <v>27501</v>
          </cell>
          <cell r="AG157">
            <v>0</v>
          </cell>
          <cell r="AH157">
            <v>0</v>
          </cell>
          <cell r="AI157">
            <v>0</v>
          </cell>
        </row>
        <row r="158">
          <cell r="B158" t="str">
            <v>02-0322-043</v>
          </cell>
          <cell r="C158" t="str">
            <v>Sandhika Agung Novianto</v>
          </cell>
          <cell r="D158" t="str">
            <v>Kontrak</v>
          </cell>
          <cell r="E158" t="str">
            <v>Aktif</v>
          </cell>
          <cell r="G158">
            <v>39</v>
          </cell>
          <cell r="H158" t="str">
            <v>Operation</v>
          </cell>
          <cell r="I158" t="str">
            <v>Operation</v>
          </cell>
          <cell r="J158" t="str">
            <v>Operation Crew</v>
          </cell>
          <cell r="K158" t="str">
            <v>Crew</v>
          </cell>
          <cell r="L158" t="str">
            <v>3200871196</v>
          </cell>
          <cell r="M158">
            <v>21</v>
          </cell>
          <cell r="N158">
            <v>25</v>
          </cell>
          <cell r="O158">
            <v>2750136</v>
          </cell>
          <cell r="P158">
            <v>0</v>
          </cell>
          <cell r="Q158">
            <v>0</v>
          </cell>
          <cell r="R158">
            <v>2750136</v>
          </cell>
          <cell r="S158">
            <v>10000</v>
          </cell>
          <cell r="T158">
            <v>210000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110005</v>
          </cell>
          <cell r="Z158">
            <v>124856</v>
          </cell>
          <cell r="AA158">
            <v>55003</v>
          </cell>
          <cell r="AC158">
            <v>2960136</v>
          </cell>
          <cell r="AD158">
            <v>27501</v>
          </cell>
          <cell r="AE158">
            <v>55003</v>
          </cell>
          <cell r="AF158">
            <v>27501</v>
          </cell>
          <cell r="AG158">
            <v>0</v>
          </cell>
          <cell r="AH158">
            <v>0</v>
          </cell>
          <cell r="AI158">
            <v>0</v>
          </cell>
        </row>
        <row r="159">
          <cell r="B159" t="str">
            <v>02-0322-044</v>
          </cell>
          <cell r="C159" t="str">
            <v>Sava Revanda Diaz Wijaya</v>
          </cell>
          <cell r="D159" t="str">
            <v>Kontrak</v>
          </cell>
          <cell r="E159" t="str">
            <v>Aktif</v>
          </cell>
          <cell r="G159">
            <v>39</v>
          </cell>
          <cell r="H159" t="str">
            <v>Operation</v>
          </cell>
          <cell r="I159" t="str">
            <v>Operation</v>
          </cell>
          <cell r="J159" t="str">
            <v>Operation Crew</v>
          </cell>
          <cell r="K159" t="str">
            <v>Crew</v>
          </cell>
          <cell r="L159" t="str">
            <v>3200871846</v>
          </cell>
          <cell r="M159">
            <v>21</v>
          </cell>
          <cell r="N159">
            <v>25</v>
          </cell>
          <cell r="O159">
            <v>2750136</v>
          </cell>
          <cell r="P159">
            <v>0</v>
          </cell>
          <cell r="Q159">
            <v>0</v>
          </cell>
          <cell r="R159">
            <v>2750136</v>
          </cell>
          <cell r="S159">
            <v>10000</v>
          </cell>
          <cell r="T159">
            <v>210000</v>
          </cell>
          <cell r="U159">
            <v>0</v>
          </cell>
          <cell r="V159">
            <v>23845</v>
          </cell>
          <cell r="W159">
            <v>0</v>
          </cell>
          <cell r="X159">
            <v>0</v>
          </cell>
          <cell r="Y159">
            <v>110005</v>
          </cell>
          <cell r="Z159">
            <v>124856</v>
          </cell>
          <cell r="AA159">
            <v>55003</v>
          </cell>
          <cell r="AC159">
            <v>2983981</v>
          </cell>
          <cell r="AD159">
            <v>27501</v>
          </cell>
          <cell r="AE159">
            <v>55003</v>
          </cell>
          <cell r="AF159">
            <v>27501</v>
          </cell>
          <cell r="AG159">
            <v>0</v>
          </cell>
          <cell r="AH159">
            <v>0</v>
          </cell>
          <cell r="AI159">
            <v>0</v>
          </cell>
        </row>
        <row r="160">
          <cell r="B160" t="str">
            <v>02-0322-046</v>
          </cell>
          <cell r="C160" t="str">
            <v>Kukuh Adi Saputra</v>
          </cell>
          <cell r="D160" t="str">
            <v>Kontrak</v>
          </cell>
          <cell r="E160" t="str">
            <v>Aktif</v>
          </cell>
          <cell r="G160">
            <v>39</v>
          </cell>
          <cell r="H160" t="str">
            <v>Operation</v>
          </cell>
          <cell r="I160" t="str">
            <v>Operation</v>
          </cell>
          <cell r="J160" t="str">
            <v>Angon Ingon Crew</v>
          </cell>
          <cell r="K160" t="str">
            <v>Crew</v>
          </cell>
          <cell r="L160" t="str">
            <v>2221150891</v>
          </cell>
          <cell r="M160">
            <v>21</v>
          </cell>
          <cell r="N160">
            <v>25</v>
          </cell>
          <cell r="O160">
            <v>2750136</v>
          </cell>
          <cell r="P160">
            <v>0</v>
          </cell>
          <cell r="Q160">
            <v>0</v>
          </cell>
          <cell r="R160">
            <v>2750136</v>
          </cell>
          <cell r="S160">
            <v>10000</v>
          </cell>
          <cell r="T160">
            <v>210000</v>
          </cell>
          <cell r="U160">
            <v>0</v>
          </cell>
          <cell r="V160">
            <v>23845</v>
          </cell>
          <cell r="W160">
            <v>0</v>
          </cell>
          <cell r="X160">
            <v>0</v>
          </cell>
          <cell r="Y160">
            <v>110005</v>
          </cell>
          <cell r="Z160">
            <v>124856</v>
          </cell>
          <cell r="AA160">
            <v>55003</v>
          </cell>
          <cell r="AC160">
            <v>2983981</v>
          </cell>
          <cell r="AD160">
            <v>27501</v>
          </cell>
          <cell r="AE160">
            <v>55003</v>
          </cell>
          <cell r="AF160">
            <v>27501</v>
          </cell>
          <cell r="AG160">
            <v>0</v>
          </cell>
          <cell r="AH160">
            <v>0</v>
          </cell>
          <cell r="AI160">
            <v>0</v>
          </cell>
        </row>
        <row r="161">
          <cell r="B161" t="str">
            <v>02-0322-047</v>
          </cell>
          <cell r="C161" t="str">
            <v>Aulia Utami</v>
          </cell>
          <cell r="D161" t="str">
            <v>Tetap</v>
          </cell>
          <cell r="E161" t="str">
            <v>Aktif</v>
          </cell>
          <cell r="G161">
            <v>39</v>
          </cell>
          <cell r="H161" t="str">
            <v>Finance &amp; Accounting</v>
          </cell>
          <cell r="I161" t="str">
            <v>Accounting</v>
          </cell>
          <cell r="J161" t="str">
            <v>Accounting &amp; Tax Officer</v>
          </cell>
          <cell r="K161" t="str">
            <v>Officer</v>
          </cell>
          <cell r="L161" t="str">
            <v>3200873644</v>
          </cell>
          <cell r="M161">
            <v>19</v>
          </cell>
          <cell r="N161">
            <v>21</v>
          </cell>
          <cell r="O161">
            <v>2990000</v>
          </cell>
          <cell r="P161">
            <v>500000</v>
          </cell>
          <cell r="Q161">
            <v>0</v>
          </cell>
          <cell r="R161">
            <v>3490000</v>
          </cell>
          <cell r="S161">
            <v>11900</v>
          </cell>
          <cell r="T161">
            <v>226100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139600</v>
          </cell>
          <cell r="Z161">
            <v>158446</v>
          </cell>
          <cell r="AA161">
            <v>69800</v>
          </cell>
          <cell r="AC161">
            <v>3716100</v>
          </cell>
          <cell r="AD161">
            <v>34900</v>
          </cell>
          <cell r="AE161">
            <v>69800</v>
          </cell>
          <cell r="AF161">
            <v>34900</v>
          </cell>
          <cell r="AG161">
            <v>0</v>
          </cell>
          <cell r="AH161">
            <v>0</v>
          </cell>
          <cell r="AI161">
            <v>0</v>
          </cell>
        </row>
        <row r="162">
          <cell r="B162" t="str">
            <v>02-0422-048</v>
          </cell>
          <cell r="C162" t="str">
            <v>Aldi Ramdhani Susetyo Putra</v>
          </cell>
          <cell r="D162" t="str">
            <v>Kontrak</v>
          </cell>
          <cell r="E162" t="str">
            <v>Aktif</v>
          </cell>
          <cell r="G162">
            <v>38</v>
          </cell>
          <cell r="H162" t="str">
            <v>Procurement &amp; GA</v>
          </cell>
          <cell r="I162" t="str">
            <v>GA</v>
          </cell>
          <cell r="J162" t="str">
            <v>Driver</v>
          </cell>
          <cell r="K162" t="str">
            <v>Crew</v>
          </cell>
          <cell r="L162" t="str">
            <v>0131525604</v>
          </cell>
          <cell r="M162">
            <v>20</v>
          </cell>
          <cell r="N162">
            <v>21</v>
          </cell>
          <cell r="O162">
            <v>2750136</v>
          </cell>
          <cell r="P162">
            <v>0</v>
          </cell>
          <cell r="Q162">
            <v>0</v>
          </cell>
          <cell r="R162">
            <v>2750136</v>
          </cell>
          <cell r="S162">
            <v>10000</v>
          </cell>
          <cell r="T162">
            <v>200000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110005</v>
          </cell>
          <cell r="Z162">
            <v>124856</v>
          </cell>
          <cell r="AA162">
            <v>55003</v>
          </cell>
          <cell r="AC162">
            <v>2950136</v>
          </cell>
          <cell r="AD162">
            <v>27501</v>
          </cell>
          <cell r="AE162">
            <v>55003</v>
          </cell>
          <cell r="AF162">
            <v>27501</v>
          </cell>
          <cell r="AG162">
            <v>0</v>
          </cell>
          <cell r="AH162">
            <v>0</v>
          </cell>
          <cell r="AI162">
            <v>0</v>
          </cell>
        </row>
        <row r="163">
          <cell r="B163" t="str">
            <v>02-0422-050</v>
          </cell>
          <cell r="C163" t="str">
            <v>Aqwa Muthorik</v>
          </cell>
          <cell r="D163" t="str">
            <v>Kontrak</v>
          </cell>
          <cell r="E163" t="str">
            <v>Aktif</v>
          </cell>
          <cell r="G163">
            <v>38</v>
          </cell>
          <cell r="H163" t="str">
            <v>Maintenance</v>
          </cell>
          <cell r="I163" t="str">
            <v>Landscape &amp; Environment</v>
          </cell>
          <cell r="J163" t="str">
            <v>Landscape Crew</v>
          </cell>
          <cell r="K163" t="str">
            <v>Crew</v>
          </cell>
          <cell r="L163" t="str">
            <v>0131798295</v>
          </cell>
          <cell r="M163">
            <v>21</v>
          </cell>
          <cell r="N163">
            <v>25</v>
          </cell>
          <cell r="O163">
            <v>2750136</v>
          </cell>
          <cell r="P163">
            <v>0</v>
          </cell>
          <cell r="Q163">
            <v>0</v>
          </cell>
          <cell r="R163">
            <v>2750136</v>
          </cell>
          <cell r="S163">
            <v>10000</v>
          </cell>
          <cell r="T163">
            <v>210000</v>
          </cell>
          <cell r="U163">
            <v>0</v>
          </cell>
          <cell r="V163">
            <v>238452</v>
          </cell>
          <cell r="W163">
            <v>0</v>
          </cell>
          <cell r="X163">
            <v>0</v>
          </cell>
          <cell r="Y163">
            <v>110005</v>
          </cell>
          <cell r="Z163">
            <v>124856</v>
          </cell>
          <cell r="AA163">
            <v>55003</v>
          </cell>
          <cell r="AC163">
            <v>3198588</v>
          </cell>
          <cell r="AD163">
            <v>27501</v>
          </cell>
          <cell r="AE163">
            <v>55003</v>
          </cell>
          <cell r="AF163">
            <v>27501</v>
          </cell>
          <cell r="AG163">
            <v>0</v>
          </cell>
          <cell r="AH163">
            <v>0</v>
          </cell>
          <cell r="AI163">
            <v>0</v>
          </cell>
        </row>
        <row r="164">
          <cell r="B164" t="str">
            <v>02-0422-054</v>
          </cell>
          <cell r="C164" t="str">
            <v>Muhammad Makruf Nugroho</v>
          </cell>
          <cell r="D164" t="str">
            <v>Kontrak</v>
          </cell>
          <cell r="E164" t="str">
            <v>Aktif</v>
          </cell>
          <cell r="G164">
            <v>38</v>
          </cell>
          <cell r="H164" t="str">
            <v>Operation</v>
          </cell>
          <cell r="I164" t="str">
            <v>Operation</v>
          </cell>
          <cell r="J164" t="str">
            <v>Angon Ingon Crew</v>
          </cell>
          <cell r="K164" t="str">
            <v>Crew</v>
          </cell>
          <cell r="L164" t="str">
            <v>3200877038</v>
          </cell>
          <cell r="M164">
            <v>20</v>
          </cell>
          <cell r="N164">
            <v>25</v>
          </cell>
          <cell r="O164">
            <v>2750136</v>
          </cell>
          <cell r="P164">
            <v>0</v>
          </cell>
          <cell r="Q164">
            <v>0</v>
          </cell>
          <cell r="R164">
            <v>2750136</v>
          </cell>
          <cell r="S164">
            <v>10000</v>
          </cell>
          <cell r="T164">
            <v>200000</v>
          </cell>
          <cell r="U164">
            <v>0</v>
          </cell>
          <cell r="V164">
            <v>87432</v>
          </cell>
          <cell r="W164">
            <v>0</v>
          </cell>
          <cell r="X164">
            <v>0</v>
          </cell>
          <cell r="Y164">
            <v>110005</v>
          </cell>
          <cell r="Z164">
            <v>124856</v>
          </cell>
          <cell r="AA164">
            <v>55003</v>
          </cell>
          <cell r="AC164">
            <v>3037568</v>
          </cell>
          <cell r="AD164">
            <v>27501</v>
          </cell>
          <cell r="AE164">
            <v>55003</v>
          </cell>
          <cell r="AF164">
            <v>27501</v>
          </cell>
          <cell r="AG164">
            <v>0</v>
          </cell>
          <cell r="AH164">
            <v>0</v>
          </cell>
          <cell r="AI164">
            <v>0</v>
          </cell>
        </row>
        <row r="165">
          <cell r="B165" t="str">
            <v>02-0422-055</v>
          </cell>
          <cell r="C165" t="str">
            <v>Ali Setya Ardhany</v>
          </cell>
          <cell r="D165" t="str">
            <v>Kontrak</v>
          </cell>
          <cell r="E165" t="str">
            <v>Aktif</v>
          </cell>
          <cell r="G165">
            <v>38</v>
          </cell>
          <cell r="H165" t="str">
            <v>Operation</v>
          </cell>
          <cell r="I165" t="str">
            <v>Operation</v>
          </cell>
          <cell r="J165" t="str">
            <v>Operation Crew</v>
          </cell>
          <cell r="K165" t="str">
            <v>Crew</v>
          </cell>
          <cell r="L165" t="str">
            <v>2221153075</v>
          </cell>
          <cell r="M165">
            <v>21</v>
          </cell>
          <cell r="N165">
            <v>25</v>
          </cell>
          <cell r="O165">
            <v>2750136</v>
          </cell>
          <cell r="P165">
            <v>0</v>
          </cell>
          <cell r="Q165">
            <v>0</v>
          </cell>
          <cell r="R165">
            <v>2750136</v>
          </cell>
          <cell r="S165">
            <v>10000</v>
          </cell>
          <cell r="T165">
            <v>210000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110005</v>
          </cell>
          <cell r="Z165">
            <v>124856</v>
          </cell>
          <cell r="AA165">
            <v>55003</v>
          </cell>
          <cell r="AC165">
            <v>2960136</v>
          </cell>
          <cell r="AD165">
            <v>27501</v>
          </cell>
          <cell r="AE165">
            <v>55003</v>
          </cell>
          <cell r="AF165">
            <v>27501</v>
          </cell>
          <cell r="AG165">
            <v>0</v>
          </cell>
          <cell r="AH165">
            <v>0</v>
          </cell>
          <cell r="AI165">
            <v>0</v>
          </cell>
        </row>
        <row r="166">
          <cell r="B166" t="str">
            <v>02-0422-058</v>
          </cell>
          <cell r="C166" t="str">
            <v>Choirul Anwar</v>
          </cell>
          <cell r="D166" t="str">
            <v>Kontrak</v>
          </cell>
          <cell r="E166" t="str">
            <v>Aktif</v>
          </cell>
          <cell r="G166">
            <v>38</v>
          </cell>
          <cell r="H166" t="str">
            <v>Operation</v>
          </cell>
          <cell r="I166" t="str">
            <v>Operation</v>
          </cell>
          <cell r="J166" t="str">
            <v>Operation Crew</v>
          </cell>
          <cell r="K166" t="str">
            <v>Crew</v>
          </cell>
          <cell r="L166" t="str">
            <v>0131759974</v>
          </cell>
          <cell r="M166">
            <v>21</v>
          </cell>
          <cell r="N166">
            <v>25</v>
          </cell>
          <cell r="O166">
            <v>2750136</v>
          </cell>
          <cell r="P166">
            <v>0</v>
          </cell>
          <cell r="Q166">
            <v>0</v>
          </cell>
          <cell r="R166">
            <v>2750136</v>
          </cell>
          <cell r="S166">
            <v>10000</v>
          </cell>
          <cell r="T166">
            <v>210000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110005</v>
          </cell>
          <cell r="Z166">
            <v>124856</v>
          </cell>
          <cell r="AA166">
            <v>55003</v>
          </cell>
          <cell r="AC166">
            <v>2960136</v>
          </cell>
          <cell r="AD166">
            <v>27501</v>
          </cell>
          <cell r="AE166">
            <v>55003</v>
          </cell>
          <cell r="AF166">
            <v>27501</v>
          </cell>
          <cell r="AG166">
            <v>0</v>
          </cell>
          <cell r="AH166">
            <v>0</v>
          </cell>
          <cell r="AI166">
            <v>0</v>
          </cell>
        </row>
        <row r="167">
          <cell r="B167" t="str">
            <v>02-0422-059</v>
          </cell>
          <cell r="C167" t="str">
            <v>Sindy Echa Fabella</v>
          </cell>
          <cell r="D167" t="str">
            <v>Kontrak</v>
          </cell>
          <cell r="E167" t="str">
            <v>Aktif</v>
          </cell>
          <cell r="G167">
            <v>38</v>
          </cell>
          <cell r="H167" t="str">
            <v>Operation</v>
          </cell>
          <cell r="I167" t="str">
            <v>Operation</v>
          </cell>
          <cell r="J167" t="str">
            <v>Operation Crew</v>
          </cell>
          <cell r="K167" t="str">
            <v>Crew</v>
          </cell>
          <cell r="L167" t="str">
            <v>3200845829</v>
          </cell>
          <cell r="M167">
            <v>15</v>
          </cell>
          <cell r="N167">
            <v>25</v>
          </cell>
          <cell r="O167">
            <v>2750136</v>
          </cell>
          <cell r="P167">
            <v>0</v>
          </cell>
          <cell r="Q167">
            <v>0</v>
          </cell>
          <cell r="R167">
            <v>2750136</v>
          </cell>
          <cell r="S167">
            <v>10000</v>
          </cell>
          <cell r="T167">
            <v>150000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110005</v>
          </cell>
          <cell r="Z167">
            <v>124856</v>
          </cell>
          <cell r="AA167">
            <v>55003</v>
          </cell>
          <cell r="AC167">
            <v>2900136</v>
          </cell>
          <cell r="AD167">
            <v>27501</v>
          </cell>
          <cell r="AE167">
            <v>55003</v>
          </cell>
          <cell r="AF167">
            <v>27501</v>
          </cell>
          <cell r="AG167">
            <v>0</v>
          </cell>
          <cell r="AH167">
            <v>0</v>
          </cell>
          <cell r="AI167">
            <v>0</v>
          </cell>
        </row>
        <row r="168">
          <cell r="B168" t="str">
            <v>02-0422-060</v>
          </cell>
          <cell r="C168" t="str">
            <v>Aditya Daffa Danuarta</v>
          </cell>
          <cell r="D168" t="str">
            <v>Kontrak</v>
          </cell>
          <cell r="E168" t="str">
            <v>Aktif</v>
          </cell>
          <cell r="G168">
            <v>38</v>
          </cell>
          <cell r="H168" t="str">
            <v>Operation</v>
          </cell>
          <cell r="I168" t="str">
            <v>Operation</v>
          </cell>
          <cell r="J168" t="str">
            <v>Operation Crew</v>
          </cell>
          <cell r="K168" t="str">
            <v>Crew</v>
          </cell>
          <cell r="L168" t="str">
            <v>3200821377</v>
          </cell>
          <cell r="M168">
            <v>21</v>
          </cell>
          <cell r="N168">
            <v>25</v>
          </cell>
          <cell r="O168">
            <v>2750136</v>
          </cell>
          <cell r="P168">
            <v>0</v>
          </cell>
          <cell r="Q168">
            <v>0</v>
          </cell>
          <cell r="R168">
            <v>2750136</v>
          </cell>
          <cell r="S168">
            <v>10000</v>
          </cell>
          <cell r="T168">
            <v>210000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110005</v>
          </cell>
          <cell r="Z168">
            <v>124856</v>
          </cell>
          <cell r="AA168">
            <v>55003</v>
          </cell>
          <cell r="AC168">
            <v>2960136</v>
          </cell>
          <cell r="AD168">
            <v>27501</v>
          </cell>
          <cell r="AE168">
            <v>55003</v>
          </cell>
          <cell r="AF168">
            <v>27501</v>
          </cell>
          <cell r="AG168">
            <v>0</v>
          </cell>
          <cell r="AH168">
            <v>0</v>
          </cell>
          <cell r="AI168">
            <v>0</v>
          </cell>
        </row>
        <row r="169">
          <cell r="B169" t="str">
            <v>02-0422-061</v>
          </cell>
          <cell r="C169" t="str">
            <v>Verdian Febrianto</v>
          </cell>
          <cell r="D169" t="str">
            <v>Kontrak</v>
          </cell>
          <cell r="E169" t="str">
            <v>Aktif</v>
          </cell>
          <cell r="G169">
            <v>38</v>
          </cell>
          <cell r="H169" t="str">
            <v>Operation</v>
          </cell>
          <cell r="I169" t="str">
            <v>Operation</v>
          </cell>
          <cell r="J169" t="str">
            <v>Operation Crew</v>
          </cell>
          <cell r="K169" t="str">
            <v>Crew</v>
          </cell>
          <cell r="L169" t="str">
            <v>0131801717</v>
          </cell>
          <cell r="M169">
            <v>20</v>
          </cell>
          <cell r="N169">
            <v>25</v>
          </cell>
          <cell r="O169">
            <v>2750136</v>
          </cell>
          <cell r="P169">
            <v>0</v>
          </cell>
          <cell r="Q169">
            <v>0</v>
          </cell>
          <cell r="R169">
            <v>2750136</v>
          </cell>
          <cell r="S169">
            <v>10000</v>
          </cell>
          <cell r="T169">
            <v>200000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110005</v>
          </cell>
          <cell r="Z169">
            <v>124856</v>
          </cell>
          <cell r="AA169">
            <v>55003</v>
          </cell>
          <cell r="AC169">
            <v>2950136</v>
          </cell>
          <cell r="AD169">
            <v>27501</v>
          </cell>
          <cell r="AE169">
            <v>55003</v>
          </cell>
          <cell r="AF169">
            <v>27501</v>
          </cell>
          <cell r="AG169">
            <v>0</v>
          </cell>
          <cell r="AH169">
            <v>0</v>
          </cell>
          <cell r="AI169">
            <v>0</v>
          </cell>
        </row>
        <row r="170">
          <cell r="B170" t="str">
            <v>02-0422-062</v>
          </cell>
          <cell r="C170" t="str">
            <v>Minudin Is Gama</v>
          </cell>
          <cell r="D170" t="str">
            <v>Kontrak</v>
          </cell>
          <cell r="E170" t="str">
            <v>Aktif</v>
          </cell>
          <cell r="G170">
            <v>38</v>
          </cell>
          <cell r="H170" t="str">
            <v>Inpark Revenue</v>
          </cell>
          <cell r="I170" t="str">
            <v>Inpark Revenue Operational</v>
          </cell>
          <cell r="J170" t="str">
            <v>Inpark Revenue Operational Crew</v>
          </cell>
          <cell r="K170" t="str">
            <v>Crew</v>
          </cell>
          <cell r="L170" t="str">
            <v>0131306775</v>
          </cell>
          <cell r="M170">
            <v>21</v>
          </cell>
          <cell r="N170">
            <v>25</v>
          </cell>
          <cell r="O170">
            <v>2750136</v>
          </cell>
          <cell r="P170">
            <v>0</v>
          </cell>
          <cell r="Q170">
            <v>0</v>
          </cell>
          <cell r="R170">
            <v>2750136</v>
          </cell>
          <cell r="S170">
            <v>10000</v>
          </cell>
          <cell r="T170">
            <v>210000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110005</v>
          </cell>
          <cell r="Z170">
            <v>124856</v>
          </cell>
          <cell r="AA170">
            <v>55003</v>
          </cell>
          <cell r="AC170">
            <v>2960136</v>
          </cell>
          <cell r="AD170">
            <v>27501</v>
          </cell>
          <cell r="AE170">
            <v>55003</v>
          </cell>
          <cell r="AF170">
            <v>27501</v>
          </cell>
          <cell r="AG170">
            <v>0</v>
          </cell>
          <cell r="AH170">
            <v>0</v>
          </cell>
          <cell r="AI170">
            <v>0</v>
          </cell>
        </row>
        <row r="171">
          <cell r="B171" t="str">
            <v>02-0422-063</v>
          </cell>
          <cell r="C171" t="str">
            <v>Imam</v>
          </cell>
          <cell r="D171" t="str">
            <v>Kontrak</v>
          </cell>
          <cell r="E171" t="str">
            <v>Aktif</v>
          </cell>
          <cell r="G171">
            <v>38</v>
          </cell>
          <cell r="H171" t="str">
            <v>Inpark Revenue</v>
          </cell>
          <cell r="I171" t="str">
            <v>FB Product</v>
          </cell>
          <cell r="J171" t="str">
            <v>Dishwasher</v>
          </cell>
          <cell r="K171" t="str">
            <v>Crew</v>
          </cell>
          <cell r="L171" t="str">
            <v>0131371178</v>
          </cell>
          <cell r="M171">
            <v>20</v>
          </cell>
          <cell r="N171">
            <v>25</v>
          </cell>
          <cell r="O171">
            <v>2750136</v>
          </cell>
          <cell r="P171">
            <v>0</v>
          </cell>
          <cell r="Q171">
            <v>0</v>
          </cell>
          <cell r="R171">
            <v>2750136</v>
          </cell>
          <cell r="S171">
            <v>10000</v>
          </cell>
          <cell r="T171">
            <v>200000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110005</v>
          </cell>
          <cell r="Z171">
            <v>124856</v>
          </cell>
          <cell r="AA171">
            <v>55003</v>
          </cell>
          <cell r="AC171">
            <v>2950136</v>
          </cell>
          <cell r="AD171">
            <v>27501</v>
          </cell>
          <cell r="AE171">
            <v>55003</v>
          </cell>
          <cell r="AF171">
            <v>27501</v>
          </cell>
          <cell r="AG171">
            <v>0</v>
          </cell>
          <cell r="AH171">
            <v>0</v>
          </cell>
          <cell r="AI171">
            <v>0</v>
          </cell>
        </row>
        <row r="172">
          <cell r="B172" t="str">
            <v>02-0422-064</v>
          </cell>
          <cell r="C172" t="str">
            <v>Laini Luthfiati</v>
          </cell>
          <cell r="D172" t="str">
            <v>Kontrak</v>
          </cell>
          <cell r="E172" t="str">
            <v>Aktif</v>
          </cell>
          <cell r="G172">
            <v>38</v>
          </cell>
          <cell r="H172" t="str">
            <v>Inpark Revenue</v>
          </cell>
          <cell r="I172" t="str">
            <v>Partnership &amp; Support</v>
          </cell>
          <cell r="J172" t="str">
            <v>Inventory Control Officer</v>
          </cell>
          <cell r="K172" t="str">
            <v>Officer</v>
          </cell>
          <cell r="L172" t="str">
            <v>0131416741</v>
          </cell>
          <cell r="M172">
            <v>19</v>
          </cell>
          <cell r="N172">
            <v>21</v>
          </cell>
          <cell r="O172">
            <v>2800000</v>
          </cell>
          <cell r="P172">
            <v>500000</v>
          </cell>
          <cell r="Q172">
            <v>0</v>
          </cell>
          <cell r="R172">
            <v>3300000</v>
          </cell>
          <cell r="S172">
            <v>11900</v>
          </cell>
          <cell r="T172">
            <v>226100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132000</v>
          </cell>
          <cell r="Z172">
            <v>149820</v>
          </cell>
          <cell r="AA172">
            <v>66000</v>
          </cell>
          <cell r="AC172">
            <v>3526100</v>
          </cell>
          <cell r="AD172">
            <v>33000</v>
          </cell>
          <cell r="AE172">
            <v>66000</v>
          </cell>
          <cell r="AF172">
            <v>33000</v>
          </cell>
          <cell r="AG172">
            <v>0</v>
          </cell>
          <cell r="AH172">
            <v>0</v>
          </cell>
          <cell r="AI172">
            <v>0</v>
          </cell>
        </row>
        <row r="173">
          <cell r="B173" t="str">
            <v>02-0422-066</v>
          </cell>
          <cell r="C173" t="str">
            <v>Istaslama Meylana Sukma</v>
          </cell>
          <cell r="D173" t="str">
            <v>Kontrak</v>
          </cell>
          <cell r="E173" t="str">
            <v>Aktif</v>
          </cell>
          <cell r="G173">
            <v>38</v>
          </cell>
          <cell r="H173" t="str">
            <v>Inpark Revenue</v>
          </cell>
          <cell r="I173" t="str">
            <v>Inpark Revenue Operational</v>
          </cell>
          <cell r="J173" t="str">
            <v>Inpark Revenue Operational Crew</v>
          </cell>
          <cell r="K173" t="str">
            <v>Crew</v>
          </cell>
          <cell r="L173" t="str">
            <v>0131770382</v>
          </cell>
          <cell r="M173">
            <v>19</v>
          </cell>
          <cell r="N173">
            <v>25</v>
          </cell>
          <cell r="O173">
            <v>2750136</v>
          </cell>
          <cell r="P173">
            <v>0</v>
          </cell>
          <cell r="Q173">
            <v>0</v>
          </cell>
          <cell r="R173">
            <v>2750136</v>
          </cell>
          <cell r="S173">
            <v>10000</v>
          </cell>
          <cell r="T173">
            <v>190000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110005</v>
          </cell>
          <cell r="Z173">
            <v>124856</v>
          </cell>
          <cell r="AA173">
            <v>55003</v>
          </cell>
          <cell r="AC173">
            <v>2940136</v>
          </cell>
          <cell r="AD173">
            <v>27501</v>
          </cell>
          <cell r="AE173">
            <v>55003</v>
          </cell>
          <cell r="AF173">
            <v>27501</v>
          </cell>
          <cell r="AG173">
            <v>0</v>
          </cell>
          <cell r="AH173">
            <v>0</v>
          </cell>
          <cell r="AI173">
            <v>0</v>
          </cell>
        </row>
        <row r="174">
          <cell r="B174" t="str">
            <v>02-0422-067</v>
          </cell>
          <cell r="C174" t="str">
            <v>Ricky Arisona Irfandi</v>
          </cell>
          <cell r="D174" t="str">
            <v>Kontrak</v>
          </cell>
          <cell r="E174" t="str">
            <v>Aktif</v>
          </cell>
          <cell r="G174">
            <v>38</v>
          </cell>
          <cell r="H174" t="str">
            <v>Inpark Revenue</v>
          </cell>
          <cell r="I174" t="str">
            <v>Inpark Revenue Operational</v>
          </cell>
          <cell r="J174" t="str">
            <v>Inpark Revenue Operational Crew</v>
          </cell>
          <cell r="K174" t="str">
            <v>Crew</v>
          </cell>
          <cell r="L174" t="str">
            <v>0131775490</v>
          </cell>
          <cell r="M174">
            <v>20</v>
          </cell>
          <cell r="N174">
            <v>25</v>
          </cell>
          <cell r="O174">
            <v>2750136</v>
          </cell>
          <cell r="P174">
            <v>0</v>
          </cell>
          <cell r="Q174">
            <v>0</v>
          </cell>
          <cell r="R174">
            <v>2750136</v>
          </cell>
          <cell r="S174">
            <v>10000</v>
          </cell>
          <cell r="T174">
            <v>200000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110005</v>
          </cell>
          <cell r="Z174">
            <v>124856</v>
          </cell>
          <cell r="AA174">
            <v>55003</v>
          </cell>
          <cell r="AC174">
            <v>2950136</v>
          </cell>
          <cell r="AD174">
            <v>27501</v>
          </cell>
          <cell r="AE174">
            <v>55003</v>
          </cell>
          <cell r="AF174">
            <v>27501</v>
          </cell>
          <cell r="AG174">
            <v>0</v>
          </cell>
          <cell r="AH174">
            <v>0</v>
          </cell>
          <cell r="AI174">
            <v>0</v>
          </cell>
        </row>
        <row r="175">
          <cell r="B175" t="str">
            <v>02-0422-068</v>
          </cell>
          <cell r="C175" t="str">
            <v>Muflicha Nazila Tan'imi</v>
          </cell>
          <cell r="D175" t="str">
            <v>Kontrak</v>
          </cell>
          <cell r="E175" t="str">
            <v>Aktif</v>
          </cell>
          <cell r="G175">
            <v>38</v>
          </cell>
          <cell r="H175" t="str">
            <v>Inpark Revenue</v>
          </cell>
          <cell r="I175" t="str">
            <v>Inpark Revenue Operational</v>
          </cell>
          <cell r="J175" t="str">
            <v>Inpark Revenue Operational Crew</v>
          </cell>
          <cell r="K175" t="str">
            <v>Crew</v>
          </cell>
          <cell r="L175" t="str">
            <v>0131802420</v>
          </cell>
          <cell r="M175">
            <v>21</v>
          </cell>
          <cell r="N175">
            <v>25</v>
          </cell>
          <cell r="O175">
            <v>2750136</v>
          </cell>
          <cell r="P175">
            <v>0</v>
          </cell>
          <cell r="Q175">
            <v>0</v>
          </cell>
          <cell r="R175">
            <v>2750136</v>
          </cell>
          <cell r="S175">
            <v>10000</v>
          </cell>
          <cell r="T175">
            <v>210000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110005</v>
          </cell>
          <cell r="Z175">
            <v>124856</v>
          </cell>
          <cell r="AA175">
            <v>55003</v>
          </cell>
          <cell r="AC175">
            <v>2960136</v>
          </cell>
          <cell r="AD175">
            <v>27501</v>
          </cell>
          <cell r="AE175">
            <v>55003</v>
          </cell>
          <cell r="AF175">
            <v>27501</v>
          </cell>
          <cell r="AG175">
            <v>0</v>
          </cell>
          <cell r="AH175">
            <v>0</v>
          </cell>
          <cell r="AI175">
            <v>0</v>
          </cell>
        </row>
        <row r="176">
          <cell r="B176" t="str">
            <v>02-0422-069</v>
          </cell>
          <cell r="C176" t="str">
            <v>Dhita Anggraeni</v>
          </cell>
          <cell r="D176" t="str">
            <v>Kontrak</v>
          </cell>
          <cell r="E176" t="str">
            <v>Aktif</v>
          </cell>
          <cell r="G176">
            <v>38</v>
          </cell>
          <cell r="H176" t="str">
            <v>Inpark Revenue</v>
          </cell>
          <cell r="I176" t="str">
            <v>Inpark Revenue Operational</v>
          </cell>
          <cell r="J176" t="str">
            <v>Inpark Revenue Operational Crew</v>
          </cell>
          <cell r="K176" t="str">
            <v>Crew</v>
          </cell>
          <cell r="L176" t="str">
            <v>0131765320</v>
          </cell>
          <cell r="M176">
            <v>21</v>
          </cell>
          <cell r="N176">
            <v>25</v>
          </cell>
          <cell r="O176">
            <v>2750136</v>
          </cell>
          <cell r="P176">
            <v>0</v>
          </cell>
          <cell r="Q176">
            <v>0</v>
          </cell>
          <cell r="R176">
            <v>2750136</v>
          </cell>
          <cell r="S176">
            <v>10000</v>
          </cell>
          <cell r="T176">
            <v>210000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110005</v>
          </cell>
          <cell r="Z176">
            <v>124856</v>
          </cell>
          <cell r="AA176">
            <v>55003</v>
          </cell>
          <cell r="AC176">
            <v>2960136</v>
          </cell>
          <cell r="AD176">
            <v>27501</v>
          </cell>
          <cell r="AE176">
            <v>55003</v>
          </cell>
          <cell r="AF176">
            <v>27501</v>
          </cell>
          <cell r="AG176">
            <v>0</v>
          </cell>
          <cell r="AH176">
            <v>0</v>
          </cell>
          <cell r="AI176">
            <v>0</v>
          </cell>
        </row>
        <row r="177">
          <cell r="B177" t="str">
            <v>02-0422-073</v>
          </cell>
          <cell r="C177" t="str">
            <v>Jaka Laksmana Prabandaru</v>
          </cell>
          <cell r="D177" t="str">
            <v>Kontrak</v>
          </cell>
          <cell r="E177" t="str">
            <v>Aktif</v>
          </cell>
          <cell r="G177">
            <v>38</v>
          </cell>
          <cell r="H177" t="str">
            <v>Sales</v>
          </cell>
          <cell r="I177" t="str">
            <v>Sales</v>
          </cell>
          <cell r="J177" t="str">
            <v>Sales Support</v>
          </cell>
          <cell r="K177" t="str">
            <v>Crew</v>
          </cell>
          <cell r="L177" t="str">
            <v>0131769562</v>
          </cell>
          <cell r="M177">
            <v>18</v>
          </cell>
          <cell r="N177">
            <v>21</v>
          </cell>
          <cell r="O177">
            <v>2750136</v>
          </cell>
          <cell r="P177">
            <v>0</v>
          </cell>
          <cell r="Q177">
            <v>0</v>
          </cell>
          <cell r="R177">
            <v>2750136</v>
          </cell>
          <cell r="S177">
            <v>10000</v>
          </cell>
          <cell r="T177">
            <v>180000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110005</v>
          </cell>
          <cell r="Z177">
            <v>124856</v>
          </cell>
          <cell r="AA177">
            <v>55003</v>
          </cell>
          <cell r="AC177">
            <v>2930136</v>
          </cell>
          <cell r="AD177">
            <v>27501</v>
          </cell>
          <cell r="AE177">
            <v>55003</v>
          </cell>
          <cell r="AF177">
            <v>27501</v>
          </cell>
          <cell r="AG177">
            <v>0</v>
          </cell>
          <cell r="AH177">
            <v>0</v>
          </cell>
          <cell r="AI177">
            <v>0</v>
          </cell>
        </row>
        <row r="178">
          <cell r="B178" t="str">
            <v>02-0422-074</v>
          </cell>
          <cell r="C178" t="str">
            <v>Tiar Wahyu Widyarini</v>
          </cell>
          <cell r="D178" t="str">
            <v>Tetap</v>
          </cell>
          <cell r="E178" t="str">
            <v>Aktif</v>
          </cell>
          <cell r="G178">
            <v>36</v>
          </cell>
          <cell r="H178" t="str">
            <v>HR &amp; Legal</v>
          </cell>
          <cell r="I178" t="str">
            <v>HRM</v>
          </cell>
          <cell r="J178" t="str">
            <v>Pj Organizational &amp; Peopel Development SPV</v>
          </cell>
          <cell r="K178" t="str">
            <v>SPV</v>
          </cell>
          <cell r="L178" t="str">
            <v>0135712065</v>
          </cell>
          <cell r="M178">
            <v>17</v>
          </cell>
          <cell r="N178">
            <v>21</v>
          </cell>
          <cell r="O178">
            <v>3450000</v>
          </cell>
          <cell r="P178">
            <v>1000000</v>
          </cell>
          <cell r="Q178">
            <v>0</v>
          </cell>
          <cell r="R178">
            <v>4450000</v>
          </cell>
          <cell r="S178">
            <v>19000</v>
          </cell>
          <cell r="T178">
            <v>323000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178000</v>
          </cell>
          <cell r="Z178">
            <v>202030</v>
          </cell>
          <cell r="AA178">
            <v>89000</v>
          </cell>
          <cell r="AC178">
            <v>4773000</v>
          </cell>
          <cell r="AD178">
            <v>44500</v>
          </cell>
          <cell r="AE178">
            <v>89000</v>
          </cell>
          <cell r="AF178">
            <v>44500</v>
          </cell>
          <cell r="AG178">
            <v>0</v>
          </cell>
          <cell r="AH178">
            <v>0</v>
          </cell>
          <cell r="AI178">
            <v>0</v>
          </cell>
        </row>
        <row r="179">
          <cell r="B179" t="str">
            <v>02-0522-083</v>
          </cell>
          <cell r="C179" t="str">
            <v>Mateo Bunga</v>
          </cell>
          <cell r="D179" t="str">
            <v>Tetap</v>
          </cell>
          <cell r="E179" t="str">
            <v>Aktif</v>
          </cell>
          <cell r="G179">
            <v>34</v>
          </cell>
          <cell r="H179" t="str">
            <v>Sales</v>
          </cell>
          <cell r="I179" t="str">
            <v>Edutainment</v>
          </cell>
          <cell r="J179" t="str">
            <v>Sales Edutainment officer</v>
          </cell>
          <cell r="K179" t="str">
            <v>Officer</v>
          </cell>
          <cell r="L179" t="str">
            <v>0131116976</v>
          </cell>
          <cell r="M179">
            <v>19</v>
          </cell>
          <cell r="N179">
            <v>21</v>
          </cell>
          <cell r="O179">
            <v>3132000</v>
          </cell>
          <cell r="P179">
            <v>500000</v>
          </cell>
          <cell r="Q179">
            <v>0</v>
          </cell>
          <cell r="R179">
            <v>3632000</v>
          </cell>
          <cell r="S179">
            <v>11900</v>
          </cell>
          <cell r="T179">
            <v>226100</v>
          </cell>
          <cell r="U179">
            <v>100000</v>
          </cell>
          <cell r="V179">
            <v>0</v>
          </cell>
          <cell r="W179">
            <v>0</v>
          </cell>
          <cell r="X179">
            <v>0</v>
          </cell>
          <cell r="Y179">
            <v>145280</v>
          </cell>
          <cell r="Z179">
            <v>164893</v>
          </cell>
          <cell r="AA179">
            <v>72640</v>
          </cell>
          <cell r="AC179">
            <v>3958100</v>
          </cell>
          <cell r="AD179">
            <v>36320</v>
          </cell>
          <cell r="AE179">
            <v>72640</v>
          </cell>
          <cell r="AF179">
            <v>36320</v>
          </cell>
          <cell r="AG179">
            <v>0</v>
          </cell>
          <cell r="AH179">
            <v>0</v>
          </cell>
          <cell r="AI179">
            <v>0</v>
          </cell>
        </row>
        <row r="180">
          <cell r="B180" t="str">
            <v>02-0422-080</v>
          </cell>
          <cell r="C180" t="str">
            <v>Eko Susanto</v>
          </cell>
          <cell r="D180" t="str">
            <v>Kontrak</v>
          </cell>
          <cell r="E180" t="str">
            <v>Aktif</v>
          </cell>
          <cell r="G180">
            <v>37</v>
          </cell>
          <cell r="H180" t="str">
            <v>Inpark Revenue</v>
          </cell>
          <cell r="I180" t="str">
            <v>Inpark Revenue Operational</v>
          </cell>
          <cell r="J180" t="str">
            <v>Inpark Revenue Operational Crew</v>
          </cell>
          <cell r="K180" t="str">
            <v>Crew</v>
          </cell>
          <cell r="L180" t="str">
            <v>3200883283</v>
          </cell>
          <cell r="M180">
            <v>21</v>
          </cell>
          <cell r="N180">
            <v>25</v>
          </cell>
          <cell r="O180">
            <v>2750136</v>
          </cell>
          <cell r="P180">
            <v>0</v>
          </cell>
          <cell r="Q180">
            <v>0</v>
          </cell>
          <cell r="R180">
            <v>2750136</v>
          </cell>
          <cell r="S180">
            <v>10000</v>
          </cell>
          <cell r="T180">
            <v>210000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110005</v>
          </cell>
          <cell r="Z180">
            <v>124856</v>
          </cell>
          <cell r="AA180">
            <v>55003</v>
          </cell>
          <cell r="AC180">
            <v>2960136</v>
          </cell>
          <cell r="AD180">
            <v>27501</v>
          </cell>
          <cell r="AE180">
            <v>55003</v>
          </cell>
          <cell r="AF180">
            <v>27501</v>
          </cell>
          <cell r="AG180">
            <v>0</v>
          </cell>
          <cell r="AH180">
            <v>0</v>
          </cell>
          <cell r="AI180">
            <v>0</v>
          </cell>
        </row>
        <row r="181">
          <cell r="B181" t="str">
            <v>02-0422-082</v>
          </cell>
          <cell r="C181" t="str">
            <v>Jalu Legio Noven Asmarano</v>
          </cell>
          <cell r="D181" t="str">
            <v>Kontrak</v>
          </cell>
          <cell r="E181" t="str">
            <v>Aktif</v>
          </cell>
          <cell r="G181">
            <v>37</v>
          </cell>
          <cell r="H181" t="str">
            <v>Inpark Revenue</v>
          </cell>
          <cell r="I181" t="str">
            <v>Inpark Revenue Operational</v>
          </cell>
          <cell r="J181" t="str">
            <v>Inpark Revenue Operational Team Leader</v>
          </cell>
          <cell r="K181" t="str">
            <v>Crew</v>
          </cell>
          <cell r="L181" t="str">
            <v>2221163704</v>
          </cell>
          <cell r="M181">
            <v>20</v>
          </cell>
          <cell r="N181">
            <v>25</v>
          </cell>
          <cell r="O181">
            <v>2750136</v>
          </cell>
          <cell r="P181">
            <v>0</v>
          </cell>
          <cell r="Q181">
            <v>0</v>
          </cell>
          <cell r="R181">
            <v>2750136</v>
          </cell>
          <cell r="S181">
            <v>10000</v>
          </cell>
          <cell r="T181">
            <v>200000</v>
          </cell>
          <cell r="U181">
            <v>0</v>
          </cell>
          <cell r="V181">
            <v>55639</v>
          </cell>
          <cell r="W181">
            <v>200000</v>
          </cell>
          <cell r="X181">
            <v>0</v>
          </cell>
          <cell r="Y181">
            <v>110005</v>
          </cell>
          <cell r="Z181">
            <v>124856</v>
          </cell>
          <cell r="AA181">
            <v>55003</v>
          </cell>
          <cell r="AC181">
            <v>3205775</v>
          </cell>
          <cell r="AD181">
            <v>27501</v>
          </cell>
          <cell r="AE181">
            <v>55003</v>
          </cell>
          <cell r="AF181">
            <v>27501</v>
          </cell>
          <cell r="AG181">
            <v>0</v>
          </cell>
          <cell r="AH181">
            <v>0</v>
          </cell>
          <cell r="AI181">
            <v>0</v>
          </cell>
        </row>
        <row r="182">
          <cell r="B182" t="str">
            <v>02-0622-085</v>
          </cell>
          <cell r="C182" t="str">
            <v>Muhammad Fakhrudin Yusuf</v>
          </cell>
          <cell r="D182" t="str">
            <v>Kontrak</v>
          </cell>
          <cell r="E182" t="str">
            <v>Aktif</v>
          </cell>
          <cell r="G182">
            <v>36</v>
          </cell>
          <cell r="H182" t="str">
            <v>Inpark Revenue</v>
          </cell>
          <cell r="I182" t="str">
            <v>FB Product</v>
          </cell>
          <cell r="J182" t="str">
            <v>Cook Team Leader</v>
          </cell>
          <cell r="K182" t="str">
            <v>Crew</v>
          </cell>
          <cell r="L182" t="str">
            <v>3200864246</v>
          </cell>
          <cell r="M182">
            <v>20</v>
          </cell>
          <cell r="N182">
            <v>25</v>
          </cell>
          <cell r="O182">
            <v>2750136</v>
          </cell>
          <cell r="P182">
            <v>0</v>
          </cell>
          <cell r="Q182">
            <v>0</v>
          </cell>
          <cell r="R182">
            <v>2750136</v>
          </cell>
          <cell r="S182">
            <v>10000</v>
          </cell>
          <cell r="T182">
            <v>200000</v>
          </cell>
          <cell r="U182">
            <v>0</v>
          </cell>
          <cell r="V182">
            <v>0</v>
          </cell>
          <cell r="W182">
            <v>200000</v>
          </cell>
          <cell r="X182">
            <v>0</v>
          </cell>
          <cell r="Y182">
            <v>110005</v>
          </cell>
          <cell r="Z182">
            <v>124856</v>
          </cell>
          <cell r="AA182">
            <v>55003</v>
          </cell>
          <cell r="AC182">
            <v>3150136</v>
          </cell>
          <cell r="AD182">
            <v>27501</v>
          </cell>
          <cell r="AE182">
            <v>55003</v>
          </cell>
          <cell r="AF182">
            <v>27501</v>
          </cell>
          <cell r="AG182">
            <v>0</v>
          </cell>
          <cell r="AH182">
            <v>0</v>
          </cell>
          <cell r="AI182">
            <v>0</v>
          </cell>
        </row>
        <row r="183">
          <cell r="B183" t="str">
            <v>02-0622-086</v>
          </cell>
          <cell r="C183" t="str">
            <v>Anugrahningsih Novi Kusumadewi</v>
          </cell>
          <cell r="D183" t="str">
            <v>Kontrak</v>
          </cell>
          <cell r="E183" t="str">
            <v>Aktif</v>
          </cell>
          <cell r="G183">
            <v>36</v>
          </cell>
          <cell r="H183" t="str">
            <v>Finance &amp; Accounting</v>
          </cell>
          <cell r="I183" t="str">
            <v>Finance</v>
          </cell>
          <cell r="J183" t="str">
            <v>Income Audit</v>
          </cell>
          <cell r="K183" t="str">
            <v>Crew</v>
          </cell>
          <cell r="L183" t="str">
            <v>0600457730</v>
          </cell>
          <cell r="M183">
            <v>18</v>
          </cell>
          <cell r="N183">
            <v>21</v>
          </cell>
          <cell r="O183">
            <v>2887500</v>
          </cell>
          <cell r="P183">
            <v>0</v>
          </cell>
          <cell r="Q183">
            <v>0</v>
          </cell>
          <cell r="R183">
            <v>2887500</v>
          </cell>
          <cell r="S183">
            <v>10000</v>
          </cell>
          <cell r="T183">
            <v>180000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115500</v>
          </cell>
          <cell r="Z183">
            <v>131093</v>
          </cell>
          <cell r="AA183">
            <v>57750</v>
          </cell>
          <cell r="AC183">
            <v>3067500</v>
          </cell>
          <cell r="AD183">
            <v>28875</v>
          </cell>
          <cell r="AE183">
            <v>57750</v>
          </cell>
          <cell r="AF183">
            <v>28875</v>
          </cell>
          <cell r="AG183">
            <v>0</v>
          </cell>
          <cell r="AH183">
            <v>0</v>
          </cell>
          <cell r="AI183">
            <v>0</v>
          </cell>
        </row>
        <row r="184">
          <cell r="B184" t="str">
            <v>02-0622-088</v>
          </cell>
          <cell r="C184" t="str">
            <v>Jaenudin</v>
          </cell>
          <cell r="D184" t="str">
            <v>Kontrak</v>
          </cell>
          <cell r="E184" t="str">
            <v>Aktif</v>
          </cell>
          <cell r="G184">
            <v>36</v>
          </cell>
          <cell r="H184" t="str">
            <v>Inpark Revenue</v>
          </cell>
          <cell r="I184" t="str">
            <v>FB Product</v>
          </cell>
          <cell r="J184" t="str">
            <v>Cook Helper</v>
          </cell>
          <cell r="K184" t="str">
            <v>Crew</v>
          </cell>
          <cell r="L184" t="str">
            <v>0131813847</v>
          </cell>
          <cell r="M184">
            <v>20</v>
          </cell>
          <cell r="N184">
            <v>25</v>
          </cell>
          <cell r="O184">
            <v>2750136</v>
          </cell>
          <cell r="P184">
            <v>0</v>
          </cell>
          <cell r="Q184">
            <v>0</v>
          </cell>
          <cell r="R184">
            <v>2750136</v>
          </cell>
          <cell r="S184">
            <v>10000</v>
          </cell>
          <cell r="T184">
            <v>200000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110005</v>
          </cell>
          <cell r="Z184">
            <v>124856</v>
          </cell>
          <cell r="AA184">
            <v>55003</v>
          </cell>
          <cell r="AC184">
            <v>2950136</v>
          </cell>
          <cell r="AD184">
            <v>27501</v>
          </cell>
          <cell r="AE184">
            <v>55003</v>
          </cell>
          <cell r="AF184">
            <v>27501</v>
          </cell>
          <cell r="AG184">
            <v>0</v>
          </cell>
          <cell r="AH184">
            <v>0</v>
          </cell>
          <cell r="AI184">
            <v>0</v>
          </cell>
        </row>
        <row r="185">
          <cell r="B185" t="str">
            <v>02-0622-091</v>
          </cell>
          <cell r="C185" t="str">
            <v>Dimas Din Ramadhan</v>
          </cell>
          <cell r="D185" t="str">
            <v>Kontrak</v>
          </cell>
          <cell r="E185" t="str">
            <v>Aktif</v>
          </cell>
          <cell r="G185">
            <v>36</v>
          </cell>
          <cell r="H185" t="str">
            <v>Inpark Revenue</v>
          </cell>
          <cell r="I185" t="str">
            <v>Inpark Revenue Operational</v>
          </cell>
          <cell r="J185" t="str">
            <v>Inpark Revenue Operational Team Leader</v>
          </cell>
          <cell r="K185" t="str">
            <v>Crew</v>
          </cell>
          <cell r="L185" t="str">
            <v>0131375114</v>
          </cell>
          <cell r="M185">
            <v>21</v>
          </cell>
          <cell r="N185">
            <v>25</v>
          </cell>
          <cell r="O185">
            <v>2750136</v>
          </cell>
          <cell r="P185">
            <v>0</v>
          </cell>
          <cell r="Q185">
            <v>0</v>
          </cell>
          <cell r="R185">
            <v>2750136</v>
          </cell>
          <cell r="S185">
            <v>10000</v>
          </cell>
          <cell r="T185">
            <v>210000</v>
          </cell>
          <cell r="U185">
            <v>0</v>
          </cell>
          <cell r="V185">
            <v>0</v>
          </cell>
          <cell r="W185">
            <v>200000</v>
          </cell>
          <cell r="X185">
            <v>0</v>
          </cell>
          <cell r="Y185">
            <v>110005</v>
          </cell>
          <cell r="Z185">
            <v>124856</v>
          </cell>
          <cell r="AA185">
            <v>55003</v>
          </cell>
          <cell r="AC185">
            <v>3160136</v>
          </cell>
          <cell r="AD185">
            <v>27501</v>
          </cell>
          <cell r="AE185">
            <v>55003</v>
          </cell>
          <cell r="AF185">
            <v>27501</v>
          </cell>
          <cell r="AG185">
            <v>0</v>
          </cell>
          <cell r="AH185">
            <v>0</v>
          </cell>
          <cell r="AI185">
            <v>0</v>
          </cell>
        </row>
        <row r="186">
          <cell r="B186" t="str">
            <v>02-0622-095</v>
          </cell>
          <cell r="C186" t="str">
            <v>Dwi Sulistyorini</v>
          </cell>
          <cell r="D186" t="str">
            <v>Kontrak</v>
          </cell>
          <cell r="E186" t="str">
            <v>Aktif</v>
          </cell>
          <cell r="G186">
            <v>36</v>
          </cell>
          <cell r="H186" t="str">
            <v>Operation</v>
          </cell>
          <cell r="I186" t="str">
            <v>Cleaning &amp; Security</v>
          </cell>
          <cell r="J186" t="str">
            <v>Security</v>
          </cell>
          <cell r="K186" t="str">
            <v>Crew</v>
          </cell>
          <cell r="L186" t="str">
            <v>3200895991</v>
          </cell>
          <cell r="M186">
            <v>20</v>
          </cell>
          <cell r="N186">
            <v>25</v>
          </cell>
          <cell r="O186">
            <v>2750136</v>
          </cell>
          <cell r="P186">
            <v>0</v>
          </cell>
          <cell r="Q186">
            <v>0</v>
          </cell>
          <cell r="R186">
            <v>2750136</v>
          </cell>
          <cell r="S186">
            <v>10000</v>
          </cell>
          <cell r="T186">
            <v>200000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110005</v>
          </cell>
          <cell r="Z186">
            <v>124856</v>
          </cell>
          <cell r="AA186">
            <v>55003</v>
          </cell>
          <cell r="AC186">
            <v>2950136</v>
          </cell>
          <cell r="AD186">
            <v>27501</v>
          </cell>
          <cell r="AE186">
            <v>55003</v>
          </cell>
          <cell r="AF186">
            <v>27501</v>
          </cell>
          <cell r="AG186">
            <v>0</v>
          </cell>
          <cell r="AH186">
            <v>0</v>
          </cell>
          <cell r="AI186">
            <v>0</v>
          </cell>
        </row>
        <row r="187">
          <cell r="B187" t="str">
            <v>02-0722-098</v>
          </cell>
          <cell r="C187" t="str">
            <v>Arga Ryan Saputra</v>
          </cell>
          <cell r="D187" t="str">
            <v>Kontrak</v>
          </cell>
          <cell r="E187" t="str">
            <v>Aktif</v>
          </cell>
          <cell r="G187">
            <v>35</v>
          </cell>
          <cell r="H187" t="str">
            <v>Finance &amp; Accounting</v>
          </cell>
          <cell r="I187" t="str">
            <v>Warehouse</v>
          </cell>
          <cell r="J187" t="str">
            <v>Warehouse Officer</v>
          </cell>
          <cell r="K187" t="str">
            <v>Officer</v>
          </cell>
          <cell r="L187" t="str">
            <v>0131824644</v>
          </cell>
          <cell r="M187">
            <v>19</v>
          </cell>
          <cell r="N187">
            <v>21</v>
          </cell>
          <cell r="O187">
            <v>2940000</v>
          </cell>
          <cell r="P187">
            <v>500000</v>
          </cell>
          <cell r="Q187">
            <v>0</v>
          </cell>
          <cell r="R187">
            <v>3440000</v>
          </cell>
          <cell r="S187">
            <v>11900</v>
          </cell>
          <cell r="T187">
            <v>226100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137600</v>
          </cell>
          <cell r="Z187">
            <v>156176</v>
          </cell>
          <cell r="AA187">
            <v>68800</v>
          </cell>
          <cell r="AC187">
            <v>3666100</v>
          </cell>
          <cell r="AD187">
            <v>34400</v>
          </cell>
          <cell r="AE187">
            <v>68800</v>
          </cell>
          <cell r="AF187">
            <v>34400</v>
          </cell>
          <cell r="AG187">
            <v>0</v>
          </cell>
          <cell r="AH187">
            <v>0</v>
          </cell>
          <cell r="AI187">
            <v>0</v>
          </cell>
        </row>
        <row r="188">
          <cell r="B188" t="str">
            <v>02-0722-103</v>
          </cell>
          <cell r="C188" t="str">
            <v>Ahmad Nur Hakam</v>
          </cell>
          <cell r="D188" t="str">
            <v>Kontrak</v>
          </cell>
          <cell r="E188" t="str">
            <v>Aktif</v>
          </cell>
          <cell r="G188">
            <v>35</v>
          </cell>
          <cell r="H188" t="str">
            <v>Inpark Revenue</v>
          </cell>
          <cell r="I188" t="str">
            <v>FB Product</v>
          </cell>
          <cell r="J188" t="str">
            <v>Cook Team Leader</v>
          </cell>
          <cell r="K188" t="str">
            <v>Crew</v>
          </cell>
          <cell r="L188" t="str">
            <v>0131828488</v>
          </cell>
          <cell r="M188">
            <v>21</v>
          </cell>
          <cell r="N188">
            <v>25</v>
          </cell>
          <cell r="O188">
            <v>2750136</v>
          </cell>
          <cell r="P188">
            <v>0</v>
          </cell>
          <cell r="Q188">
            <v>0</v>
          </cell>
          <cell r="R188">
            <v>2750136</v>
          </cell>
          <cell r="S188">
            <v>10000</v>
          </cell>
          <cell r="T188">
            <v>210000</v>
          </cell>
          <cell r="U188">
            <v>0</v>
          </cell>
          <cell r="V188">
            <v>0</v>
          </cell>
          <cell r="W188">
            <v>200000</v>
          </cell>
          <cell r="X188">
            <v>0</v>
          </cell>
          <cell r="Y188">
            <v>110005</v>
          </cell>
          <cell r="Z188">
            <v>124856</v>
          </cell>
          <cell r="AA188">
            <v>55003</v>
          </cell>
          <cell r="AC188">
            <v>3160136</v>
          </cell>
          <cell r="AD188">
            <v>27501</v>
          </cell>
          <cell r="AE188">
            <v>55003</v>
          </cell>
          <cell r="AF188">
            <v>27501</v>
          </cell>
          <cell r="AG188">
            <v>0</v>
          </cell>
          <cell r="AH188">
            <v>0</v>
          </cell>
          <cell r="AI188">
            <v>0</v>
          </cell>
        </row>
        <row r="189">
          <cell r="B189" t="str">
            <v>02-0722-104</v>
          </cell>
          <cell r="C189" t="str">
            <v>Suramin</v>
          </cell>
          <cell r="D189" t="str">
            <v>Kontrak</v>
          </cell>
          <cell r="E189" t="str">
            <v>Aktif</v>
          </cell>
          <cell r="G189">
            <v>35</v>
          </cell>
          <cell r="H189" t="str">
            <v>Inpark Revenue</v>
          </cell>
          <cell r="I189" t="str">
            <v>FB Product</v>
          </cell>
          <cell r="J189" t="str">
            <v>Cook Team Leader</v>
          </cell>
          <cell r="K189" t="str">
            <v>Crew</v>
          </cell>
          <cell r="L189" t="str">
            <v>0131828933</v>
          </cell>
          <cell r="M189">
            <v>20</v>
          </cell>
          <cell r="N189">
            <v>25</v>
          </cell>
          <cell r="O189">
            <v>2808388</v>
          </cell>
          <cell r="P189">
            <v>0</v>
          </cell>
          <cell r="Q189">
            <v>0</v>
          </cell>
          <cell r="R189">
            <v>2808388</v>
          </cell>
          <cell r="S189">
            <v>10000</v>
          </cell>
          <cell r="T189">
            <v>200000</v>
          </cell>
          <cell r="U189">
            <v>0</v>
          </cell>
          <cell r="V189">
            <v>0</v>
          </cell>
          <cell r="W189">
            <v>200000</v>
          </cell>
          <cell r="X189">
            <v>0</v>
          </cell>
          <cell r="Y189">
            <v>112336</v>
          </cell>
          <cell r="Z189">
            <v>127501</v>
          </cell>
          <cell r="AA189">
            <v>56168</v>
          </cell>
          <cell r="AC189">
            <v>3208388</v>
          </cell>
          <cell r="AD189">
            <v>28084</v>
          </cell>
          <cell r="AE189">
            <v>56168</v>
          </cell>
          <cell r="AF189">
            <v>28084</v>
          </cell>
          <cell r="AG189">
            <v>0</v>
          </cell>
          <cell r="AH189">
            <v>0</v>
          </cell>
          <cell r="AI189">
            <v>0</v>
          </cell>
        </row>
        <row r="190">
          <cell r="B190" t="str">
            <v>02-0722-105</v>
          </cell>
          <cell r="C190" t="str">
            <v>Wahyu Aditya Prasetyo</v>
          </cell>
          <cell r="D190" t="str">
            <v>Kontrak</v>
          </cell>
          <cell r="E190" t="str">
            <v>Aktif</v>
          </cell>
          <cell r="G190">
            <v>35</v>
          </cell>
          <cell r="H190" t="str">
            <v>Inpark Revenue</v>
          </cell>
          <cell r="I190" t="str">
            <v>FB Product</v>
          </cell>
          <cell r="J190" t="str">
            <v>Cook Helper</v>
          </cell>
          <cell r="K190" t="str">
            <v>Crew</v>
          </cell>
          <cell r="L190" t="str">
            <v>0131828453</v>
          </cell>
          <cell r="M190">
            <v>21</v>
          </cell>
          <cell r="N190">
            <v>25</v>
          </cell>
          <cell r="O190">
            <v>2750136</v>
          </cell>
          <cell r="P190">
            <v>0</v>
          </cell>
          <cell r="Q190">
            <v>0</v>
          </cell>
          <cell r="R190">
            <v>2750136</v>
          </cell>
          <cell r="S190">
            <v>10000</v>
          </cell>
          <cell r="T190">
            <v>210000</v>
          </cell>
          <cell r="U190">
            <v>0</v>
          </cell>
          <cell r="V190">
            <v>23845</v>
          </cell>
          <cell r="W190">
            <v>0</v>
          </cell>
          <cell r="X190">
            <v>0</v>
          </cell>
          <cell r="Y190">
            <v>110005</v>
          </cell>
          <cell r="Z190">
            <v>124856</v>
          </cell>
          <cell r="AA190">
            <v>55003</v>
          </cell>
          <cell r="AC190">
            <v>2983981</v>
          </cell>
          <cell r="AD190">
            <v>27501</v>
          </cell>
          <cell r="AE190">
            <v>55003</v>
          </cell>
          <cell r="AF190">
            <v>27501</v>
          </cell>
          <cell r="AG190">
            <v>0</v>
          </cell>
          <cell r="AH190">
            <v>0</v>
          </cell>
          <cell r="AI190">
            <v>0</v>
          </cell>
        </row>
        <row r="191">
          <cell r="B191" t="str">
            <v>02-0722-107</v>
          </cell>
          <cell r="C191" t="str">
            <v>Edi Prastyo</v>
          </cell>
          <cell r="D191" t="str">
            <v>Kontrak</v>
          </cell>
          <cell r="E191" t="str">
            <v>Aktif</v>
          </cell>
          <cell r="G191">
            <v>35</v>
          </cell>
          <cell r="H191" t="str">
            <v>Finance &amp; Accounting</v>
          </cell>
          <cell r="I191" t="str">
            <v>Finance</v>
          </cell>
          <cell r="J191" t="str">
            <v>Income Audit</v>
          </cell>
          <cell r="K191" t="str">
            <v>Crew</v>
          </cell>
          <cell r="L191" t="str">
            <v>5845002115</v>
          </cell>
          <cell r="M191">
            <v>20</v>
          </cell>
          <cell r="N191">
            <v>21</v>
          </cell>
          <cell r="O191">
            <v>3420000</v>
          </cell>
          <cell r="P191">
            <v>0</v>
          </cell>
          <cell r="Q191">
            <v>0</v>
          </cell>
          <cell r="R191">
            <v>3420000</v>
          </cell>
          <cell r="S191">
            <v>10000</v>
          </cell>
          <cell r="T191">
            <v>200000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136800</v>
          </cell>
          <cell r="Z191">
            <v>155268</v>
          </cell>
          <cell r="AA191">
            <v>68400</v>
          </cell>
          <cell r="AC191">
            <v>3620000</v>
          </cell>
          <cell r="AD191">
            <v>34200</v>
          </cell>
          <cell r="AE191">
            <v>68400</v>
          </cell>
          <cell r="AF191">
            <v>34200</v>
          </cell>
          <cell r="AG191">
            <v>0</v>
          </cell>
          <cell r="AH191">
            <v>0</v>
          </cell>
          <cell r="AI191">
            <v>0</v>
          </cell>
        </row>
        <row r="192">
          <cell r="B192" t="str">
            <v>02-0722-108</v>
          </cell>
          <cell r="C192" t="str">
            <v>Sopiana</v>
          </cell>
          <cell r="D192" t="str">
            <v>Kontrak</v>
          </cell>
          <cell r="E192" t="str">
            <v>Aktif</v>
          </cell>
          <cell r="G192">
            <v>35</v>
          </cell>
          <cell r="H192" t="str">
            <v>Finance &amp; Accounting</v>
          </cell>
          <cell r="I192" t="str">
            <v>Finance</v>
          </cell>
          <cell r="J192" t="str">
            <v>Income Audit</v>
          </cell>
          <cell r="K192" t="str">
            <v>Crew</v>
          </cell>
          <cell r="L192" t="str">
            <v>0131828747</v>
          </cell>
          <cell r="M192">
            <v>14</v>
          </cell>
          <cell r="N192">
            <v>21</v>
          </cell>
          <cell r="O192">
            <v>2808388</v>
          </cell>
          <cell r="P192">
            <v>0</v>
          </cell>
          <cell r="Q192">
            <v>0</v>
          </cell>
          <cell r="R192">
            <v>2808388</v>
          </cell>
          <cell r="S192">
            <v>10000</v>
          </cell>
          <cell r="T192">
            <v>140000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112336</v>
          </cell>
          <cell r="Z192">
            <v>127501</v>
          </cell>
          <cell r="AA192">
            <v>56168</v>
          </cell>
          <cell r="AC192">
            <v>2948388</v>
          </cell>
          <cell r="AD192">
            <v>28084</v>
          </cell>
          <cell r="AE192">
            <v>56168</v>
          </cell>
          <cell r="AF192">
            <v>28084</v>
          </cell>
          <cell r="AG192">
            <v>0</v>
          </cell>
          <cell r="AH192">
            <v>0</v>
          </cell>
          <cell r="AI192">
            <v>0</v>
          </cell>
        </row>
        <row r="193">
          <cell r="B193" t="str">
            <v>02-0822-129</v>
          </cell>
          <cell r="C193" t="str">
            <v xml:space="preserve">Yohan Fortuna </v>
          </cell>
          <cell r="D193" t="str">
            <v>Kontrak</v>
          </cell>
          <cell r="E193" t="str">
            <v>Aktif</v>
          </cell>
          <cell r="G193">
            <v>31</v>
          </cell>
          <cell r="H193" t="str">
            <v>Maintenance</v>
          </cell>
          <cell r="I193" t="str">
            <v>Maintenance</v>
          </cell>
          <cell r="J193" t="str">
            <v>ME Crew</v>
          </cell>
          <cell r="K193" t="str">
            <v>Crew</v>
          </cell>
          <cell r="L193" t="str">
            <v>0131296711</v>
          </cell>
          <cell r="M193">
            <v>22</v>
          </cell>
          <cell r="N193">
            <v>25</v>
          </cell>
          <cell r="O193">
            <v>2750136</v>
          </cell>
          <cell r="P193">
            <v>0</v>
          </cell>
          <cell r="Q193">
            <v>0</v>
          </cell>
          <cell r="R193">
            <v>2750136</v>
          </cell>
          <cell r="S193">
            <v>10000</v>
          </cell>
          <cell r="T193">
            <v>220000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110005</v>
          </cell>
          <cell r="Z193">
            <v>124856</v>
          </cell>
          <cell r="AA193">
            <v>55003</v>
          </cell>
          <cell r="AC193">
            <v>2970136</v>
          </cell>
          <cell r="AD193">
            <v>27501</v>
          </cell>
          <cell r="AE193">
            <v>55003</v>
          </cell>
          <cell r="AF193">
            <v>27501</v>
          </cell>
          <cell r="AG193">
            <v>0</v>
          </cell>
          <cell r="AH193">
            <v>0</v>
          </cell>
          <cell r="AI193">
            <v>0</v>
          </cell>
        </row>
        <row r="194">
          <cell r="B194" t="str">
            <v>02-0822-114</v>
          </cell>
          <cell r="C194" t="str">
            <v>Lanvin Fransiska Melsiana</v>
          </cell>
          <cell r="D194" t="str">
            <v>Kontrak</v>
          </cell>
          <cell r="E194" t="str">
            <v>Aktif</v>
          </cell>
          <cell r="G194">
            <v>34</v>
          </cell>
          <cell r="H194" t="str">
            <v>Finance &amp; Accounting</v>
          </cell>
          <cell r="I194" t="str">
            <v>Finance</v>
          </cell>
          <cell r="J194" t="str">
            <v>Pj Finance Officer</v>
          </cell>
          <cell r="K194" t="str">
            <v>Officer</v>
          </cell>
          <cell r="L194" t="str">
            <v>0131846346</v>
          </cell>
          <cell r="M194">
            <v>18</v>
          </cell>
          <cell r="N194">
            <v>21</v>
          </cell>
          <cell r="O194">
            <v>2800000</v>
          </cell>
          <cell r="P194">
            <v>500000</v>
          </cell>
          <cell r="Q194">
            <v>0</v>
          </cell>
          <cell r="R194">
            <v>3300000</v>
          </cell>
          <cell r="S194">
            <v>11900</v>
          </cell>
          <cell r="T194">
            <v>214200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132000</v>
          </cell>
          <cell r="Z194">
            <v>149820</v>
          </cell>
          <cell r="AA194">
            <v>66000</v>
          </cell>
          <cell r="AC194">
            <v>3514200</v>
          </cell>
          <cell r="AD194">
            <v>33000</v>
          </cell>
          <cell r="AE194">
            <v>66000</v>
          </cell>
          <cell r="AF194">
            <v>33000</v>
          </cell>
          <cell r="AG194">
            <v>0</v>
          </cell>
          <cell r="AH194">
            <v>0</v>
          </cell>
          <cell r="AI194">
            <v>0</v>
          </cell>
        </row>
        <row r="195">
          <cell r="B195" t="str">
            <v>02-0922-115</v>
          </cell>
          <cell r="C195" t="str">
            <v>Sascia Ananda Dwi Indarwati</v>
          </cell>
          <cell r="D195" t="str">
            <v>Kontrak</v>
          </cell>
          <cell r="E195" t="str">
            <v>Aktif</v>
          </cell>
          <cell r="G195">
            <v>33</v>
          </cell>
          <cell r="H195" t="str">
            <v>Inpark Revenue</v>
          </cell>
          <cell r="I195" t="str">
            <v>Inpark Revenue Operational</v>
          </cell>
          <cell r="J195" t="str">
            <v>Inpark Revenue Operational Crew</v>
          </cell>
          <cell r="K195" t="str">
            <v>Crew</v>
          </cell>
          <cell r="L195" t="str">
            <v>0131850921</v>
          </cell>
          <cell r="M195">
            <v>21</v>
          </cell>
          <cell r="N195">
            <v>25</v>
          </cell>
          <cell r="O195">
            <v>2750136</v>
          </cell>
          <cell r="P195">
            <v>0</v>
          </cell>
          <cell r="Q195">
            <v>0</v>
          </cell>
          <cell r="R195">
            <v>2750136</v>
          </cell>
          <cell r="S195">
            <v>10000</v>
          </cell>
          <cell r="T195">
            <v>210000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110005</v>
          </cell>
          <cell r="Z195">
            <v>124856</v>
          </cell>
          <cell r="AA195">
            <v>55003</v>
          </cell>
          <cell r="AC195">
            <v>2960136</v>
          </cell>
          <cell r="AD195">
            <v>27501</v>
          </cell>
          <cell r="AE195">
            <v>55003</v>
          </cell>
          <cell r="AF195">
            <v>27501</v>
          </cell>
          <cell r="AG195">
            <v>0</v>
          </cell>
          <cell r="AH195">
            <v>0</v>
          </cell>
          <cell r="AI195">
            <v>0</v>
          </cell>
        </row>
        <row r="196">
          <cell r="B196" t="str">
            <v>02-0922-117</v>
          </cell>
          <cell r="C196" t="str">
            <v>Alwi Akbar</v>
          </cell>
          <cell r="D196" t="str">
            <v>Kontrak</v>
          </cell>
          <cell r="E196" t="str">
            <v>Aktif</v>
          </cell>
          <cell r="G196">
            <v>33</v>
          </cell>
          <cell r="H196" t="str">
            <v>Inpark Revenue</v>
          </cell>
          <cell r="I196" t="str">
            <v>Inpark Revenue Operational</v>
          </cell>
          <cell r="J196" t="str">
            <v>Inpark Revenue Operational Crew</v>
          </cell>
          <cell r="K196" t="str">
            <v>Crew</v>
          </cell>
          <cell r="L196" t="str">
            <v>0131849566</v>
          </cell>
          <cell r="M196">
            <v>21</v>
          </cell>
          <cell r="N196">
            <v>25</v>
          </cell>
          <cell r="O196">
            <v>2750136</v>
          </cell>
          <cell r="P196">
            <v>0</v>
          </cell>
          <cell r="Q196">
            <v>0</v>
          </cell>
          <cell r="R196">
            <v>2750136</v>
          </cell>
          <cell r="S196">
            <v>10000</v>
          </cell>
          <cell r="T196">
            <v>210000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110005</v>
          </cell>
          <cell r="Z196">
            <v>124856</v>
          </cell>
          <cell r="AA196">
            <v>55003</v>
          </cell>
          <cell r="AC196">
            <v>2960136</v>
          </cell>
          <cell r="AD196">
            <v>27501</v>
          </cell>
          <cell r="AE196">
            <v>55003</v>
          </cell>
          <cell r="AF196">
            <v>27501</v>
          </cell>
          <cell r="AG196">
            <v>0</v>
          </cell>
          <cell r="AH196">
            <v>0</v>
          </cell>
          <cell r="AI196">
            <v>0</v>
          </cell>
        </row>
        <row r="197">
          <cell r="B197" t="str">
            <v>02-0922-119</v>
          </cell>
          <cell r="C197" t="str">
            <v>Fahma Izzati</v>
          </cell>
          <cell r="D197" t="str">
            <v>Kontrak</v>
          </cell>
          <cell r="E197" t="str">
            <v>Aktif</v>
          </cell>
          <cell r="G197">
            <v>33</v>
          </cell>
          <cell r="H197" t="str">
            <v>Inpark Revenue</v>
          </cell>
          <cell r="I197" t="str">
            <v>Inpark Revenue Operational</v>
          </cell>
          <cell r="J197" t="str">
            <v>Inpark Revenue Operational Crew</v>
          </cell>
          <cell r="K197" t="str">
            <v>Crew</v>
          </cell>
          <cell r="L197" t="str">
            <v>0131852028</v>
          </cell>
          <cell r="M197">
            <v>21</v>
          </cell>
          <cell r="N197">
            <v>25</v>
          </cell>
          <cell r="O197">
            <v>2750136</v>
          </cell>
          <cell r="P197">
            <v>0</v>
          </cell>
          <cell r="Q197">
            <v>0</v>
          </cell>
          <cell r="R197">
            <v>2750136</v>
          </cell>
          <cell r="S197">
            <v>10000</v>
          </cell>
          <cell r="T197">
            <v>210000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110005</v>
          </cell>
          <cell r="Z197">
            <v>124856</v>
          </cell>
          <cell r="AA197">
            <v>55003</v>
          </cell>
          <cell r="AC197">
            <v>2960136</v>
          </cell>
          <cell r="AD197">
            <v>27501</v>
          </cell>
          <cell r="AE197">
            <v>55003</v>
          </cell>
          <cell r="AF197">
            <v>27501</v>
          </cell>
          <cell r="AG197">
            <v>0</v>
          </cell>
          <cell r="AH197">
            <v>0</v>
          </cell>
          <cell r="AI197">
            <v>0</v>
          </cell>
        </row>
        <row r="198">
          <cell r="B198" t="str">
            <v>02-0922-120</v>
          </cell>
          <cell r="C198" t="str">
            <v>Wita Aliffia Putri</v>
          </cell>
          <cell r="D198" t="str">
            <v>Kontrak</v>
          </cell>
          <cell r="E198" t="str">
            <v>Aktif</v>
          </cell>
          <cell r="G198">
            <v>33</v>
          </cell>
          <cell r="H198" t="str">
            <v>Inpark Revenue</v>
          </cell>
          <cell r="I198" t="str">
            <v>Inpark Revenue Operational</v>
          </cell>
          <cell r="J198" t="str">
            <v>Inpark Revenue Operational Crew</v>
          </cell>
          <cell r="K198" t="str">
            <v>Crew</v>
          </cell>
          <cell r="L198" t="str">
            <v>0131809751</v>
          </cell>
          <cell r="M198">
            <v>21</v>
          </cell>
          <cell r="N198">
            <v>25</v>
          </cell>
          <cell r="O198">
            <v>2750136</v>
          </cell>
          <cell r="P198">
            <v>0</v>
          </cell>
          <cell r="Q198">
            <v>0</v>
          </cell>
          <cell r="R198">
            <v>2750136</v>
          </cell>
          <cell r="S198">
            <v>10000</v>
          </cell>
          <cell r="T198">
            <v>210000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110005</v>
          </cell>
          <cell r="Z198">
            <v>124856</v>
          </cell>
          <cell r="AA198">
            <v>55003</v>
          </cell>
          <cell r="AC198">
            <v>2960136</v>
          </cell>
          <cell r="AD198">
            <v>27501</v>
          </cell>
          <cell r="AE198">
            <v>55003</v>
          </cell>
          <cell r="AF198">
            <v>27501</v>
          </cell>
          <cell r="AG198">
            <v>0</v>
          </cell>
          <cell r="AH198">
            <v>0</v>
          </cell>
          <cell r="AI198">
            <v>0</v>
          </cell>
        </row>
        <row r="199">
          <cell r="B199" t="str">
            <v>02-0922-121</v>
          </cell>
          <cell r="C199" t="str">
            <v>Oktaviana Putri Ramadhani</v>
          </cell>
          <cell r="D199" t="str">
            <v>Kontrak</v>
          </cell>
          <cell r="E199" t="str">
            <v>Aktif</v>
          </cell>
          <cell r="G199">
            <v>33</v>
          </cell>
          <cell r="H199" t="str">
            <v>Inpark Revenue</v>
          </cell>
          <cell r="I199" t="str">
            <v>Inpark Revenue Operational</v>
          </cell>
          <cell r="J199" t="str">
            <v>Inpark Revenue Operational Crew</v>
          </cell>
          <cell r="K199" t="str">
            <v>Crew</v>
          </cell>
          <cell r="L199" t="str">
            <v>0131855841</v>
          </cell>
          <cell r="M199">
            <v>21</v>
          </cell>
          <cell r="N199">
            <v>25</v>
          </cell>
          <cell r="O199">
            <v>2750136</v>
          </cell>
          <cell r="P199">
            <v>0</v>
          </cell>
          <cell r="Q199">
            <v>0</v>
          </cell>
          <cell r="R199">
            <v>2750136</v>
          </cell>
          <cell r="S199">
            <v>10000</v>
          </cell>
          <cell r="T199">
            <v>210000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110005</v>
          </cell>
          <cell r="Z199">
            <v>124856</v>
          </cell>
          <cell r="AA199">
            <v>55003</v>
          </cell>
          <cell r="AC199">
            <v>2960136</v>
          </cell>
          <cell r="AD199">
            <v>27501</v>
          </cell>
          <cell r="AE199">
            <v>55003</v>
          </cell>
          <cell r="AF199">
            <v>27501</v>
          </cell>
          <cell r="AG199">
            <v>0</v>
          </cell>
          <cell r="AH199">
            <v>0</v>
          </cell>
          <cell r="AI199">
            <v>0</v>
          </cell>
        </row>
        <row r="200">
          <cell r="B200" t="str">
            <v>02-0922-122</v>
          </cell>
          <cell r="C200" t="str">
            <v>Marchelina Dwi Putri Cahyani</v>
          </cell>
          <cell r="D200" t="str">
            <v>Kontrak</v>
          </cell>
          <cell r="E200" t="str">
            <v>Aktif</v>
          </cell>
          <cell r="G200">
            <v>33</v>
          </cell>
          <cell r="H200" t="str">
            <v>Inpark Revenue</v>
          </cell>
          <cell r="I200" t="str">
            <v>Inpark Revenue Operational</v>
          </cell>
          <cell r="J200" t="str">
            <v>Inpark Revenue Operational Crew</v>
          </cell>
          <cell r="K200" t="str">
            <v>Crew</v>
          </cell>
          <cell r="L200" t="str">
            <v>0131595653</v>
          </cell>
          <cell r="M200">
            <v>22</v>
          </cell>
          <cell r="N200">
            <v>25</v>
          </cell>
          <cell r="O200">
            <v>2750136</v>
          </cell>
          <cell r="P200">
            <v>0</v>
          </cell>
          <cell r="Q200">
            <v>0</v>
          </cell>
          <cell r="R200">
            <v>2750136</v>
          </cell>
          <cell r="S200">
            <v>10000</v>
          </cell>
          <cell r="T200">
            <v>220000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110005</v>
          </cell>
          <cell r="Z200">
            <v>124856</v>
          </cell>
          <cell r="AA200">
            <v>55003</v>
          </cell>
          <cell r="AC200">
            <v>2970136</v>
          </cell>
          <cell r="AD200">
            <v>27501</v>
          </cell>
          <cell r="AE200">
            <v>55003</v>
          </cell>
          <cell r="AF200">
            <v>27501</v>
          </cell>
          <cell r="AG200">
            <v>0</v>
          </cell>
          <cell r="AH200">
            <v>0</v>
          </cell>
          <cell r="AI200">
            <v>0</v>
          </cell>
        </row>
        <row r="201">
          <cell r="B201" t="str">
            <v>02-0922-124</v>
          </cell>
          <cell r="C201" t="str">
            <v>Rafi Ilham Ismawan</v>
          </cell>
          <cell r="D201" t="str">
            <v>Kontrak</v>
          </cell>
          <cell r="E201" t="str">
            <v>Aktif</v>
          </cell>
          <cell r="G201">
            <v>33</v>
          </cell>
          <cell r="H201" t="str">
            <v>Inpark Revenue</v>
          </cell>
          <cell r="I201" t="str">
            <v>Inpark Revenue Operational</v>
          </cell>
          <cell r="J201" t="str">
            <v>Inpark Revenue Operational Crew</v>
          </cell>
          <cell r="K201" t="str">
            <v>Crew</v>
          </cell>
          <cell r="L201" t="str">
            <v>3200913701</v>
          </cell>
          <cell r="M201">
            <v>22</v>
          </cell>
          <cell r="N201">
            <v>25</v>
          </cell>
          <cell r="O201">
            <v>2750136</v>
          </cell>
          <cell r="P201">
            <v>0</v>
          </cell>
          <cell r="Q201">
            <v>0</v>
          </cell>
          <cell r="R201">
            <v>2750136</v>
          </cell>
          <cell r="S201">
            <v>10000</v>
          </cell>
          <cell r="T201">
            <v>220000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110005</v>
          </cell>
          <cell r="Z201">
            <v>124856</v>
          </cell>
          <cell r="AA201">
            <v>55003</v>
          </cell>
          <cell r="AC201">
            <v>2970136</v>
          </cell>
          <cell r="AD201">
            <v>27501</v>
          </cell>
          <cell r="AE201">
            <v>55003</v>
          </cell>
          <cell r="AF201">
            <v>27501</v>
          </cell>
          <cell r="AG201">
            <v>0</v>
          </cell>
          <cell r="AH201">
            <v>0</v>
          </cell>
          <cell r="AI201">
            <v>0</v>
          </cell>
        </row>
        <row r="202">
          <cell r="B202" t="str">
            <v>02-0922-127</v>
          </cell>
          <cell r="C202" t="str">
            <v>Angger Maret Saratri</v>
          </cell>
          <cell r="D202" t="str">
            <v>Kontrak</v>
          </cell>
          <cell r="E202" t="str">
            <v>Aktif</v>
          </cell>
          <cell r="G202">
            <v>33</v>
          </cell>
          <cell r="H202" t="str">
            <v>Inpark Revenue</v>
          </cell>
          <cell r="I202" t="str">
            <v>Inpark Revenue Operational</v>
          </cell>
          <cell r="J202" t="str">
            <v>Inpark Revenue Operational Crew</v>
          </cell>
          <cell r="K202" t="str">
            <v>Crew</v>
          </cell>
          <cell r="L202" t="str">
            <v>0131854063</v>
          </cell>
          <cell r="M202">
            <v>21</v>
          </cell>
          <cell r="N202">
            <v>25</v>
          </cell>
          <cell r="O202">
            <v>2750136</v>
          </cell>
          <cell r="P202">
            <v>0</v>
          </cell>
          <cell r="Q202">
            <v>0</v>
          </cell>
          <cell r="R202">
            <v>2750136</v>
          </cell>
          <cell r="S202">
            <v>10000</v>
          </cell>
          <cell r="T202">
            <v>210000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110005</v>
          </cell>
          <cell r="Z202">
            <v>124856</v>
          </cell>
          <cell r="AA202">
            <v>55003</v>
          </cell>
          <cell r="AC202">
            <v>2960136</v>
          </cell>
          <cell r="AD202">
            <v>27501</v>
          </cell>
          <cell r="AE202">
            <v>55003</v>
          </cell>
          <cell r="AF202">
            <v>27501</v>
          </cell>
          <cell r="AG202">
            <v>0</v>
          </cell>
          <cell r="AH202">
            <v>0</v>
          </cell>
          <cell r="AI202">
            <v>0</v>
          </cell>
        </row>
        <row r="203">
          <cell r="B203" t="str">
            <v>02-0922-130</v>
          </cell>
          <cell r="C203" t="str">
            <v>Rizaldy Giardion</v>
          </cell>
          <cell r="D203" t="str">
            <v>Tetap</v>
          </cell>
          <cell r="E203" t="str">
            <v>Aktif</v>
          </cell>
          <cell r="G203">
            <v>30</v>
          </cell>
          <cell r="H203" t="str">
            <v>Sales</v>
          </cell>
          <cell r="I203" t="str">
            <v>Edutainment</v>
          </cell>
          <cell r="J203" t="str">
            <v>Pj Sales Edutainment Spv</v>
          </cell>
          <cell r="K203" t="str">
            <v>SPV</v>
          </cell>
          <cell r="L203" t="str">
            <v>0131262867</v>
          </cell>
          <cell r="M203">
            <v>20</v>
          </cell>
          <cell r="N203">
            <v>21</v>
          </cell>
          <cell r="O203">
            <v>3045000</v>
          </cell>
          <cell r="P203">
            <v>1000000</v>
          </cell>
          <cell r="Q203">
            <v>0</v>
          </cell>
          <cell r="R203">
            <v>4045000</v>
          </cell>
          <cell r="S203">
            <v>19000</v>
          </cell>
          <cell r="T203">
            <v>380000</v>
          </cell>
          <cell r="U203">
            <v>100000</v>
          </cell>
          <cell r="V203">
            <v>0</v>
          </cell>
          <cell r="W203">
            <v>0</v>
          </cell>
          <cell r="X203">
            <v>0</v>
          </cell>
          <cell r="Y203">
            <v>161800</v>
          </cell>
          <cell r="Z203">
            <v>183643</v>
          </cell>
          <cell r="AA203">
            <v>80900</v>
          </cell>
          <cell r="AC203">
            <v>4525000</v>
          </cell>
          <cell r="AD203">
            <v>40450</v>
          </cell>
          <cell r="AE203">
            <v>80900</v>
          </cell>
          <cell r="AF203">
            <v>40450</v>
          </cell>
          <cell r="AG203">
            <v>0</v>
          </cell>
          <cell r="AH203">
            <v>0</v>
          </cell>
          <cell r="AI203">
            <v>0</v>
          </cell>
        </row>
        <row r="204">
          <cell r="B204" t="str">
            <v>02-0922-131</v>
          </cell>
          <cell r="C204" t="str">
            <v>Edy Maryono</v>
          </cell>
          <cell r="D204" t="str">
            <v>Kontrak</v>
          </cell>
          <cell r="E204" t="str">
            <v>Aktif</v>
          </cell>
          <cell r="G204">
            <v>30</v>
          </cell>
          <cell r="H204" t="str">
            <v>Maintenance</v>
          </cell>
          <cell r="I204" t="str">
            <v>Maintenance</v>
          </cell>
          <cell r="J204" t="str">
            <v>ME Crew</v>
          </cell>
          <cell r="K204" t="str">
            <v>Crew</v>
          </cell>
          <cell r="L204" t="str">
            <v>0131916212</v>
          </cell>
          <cell r="M204">
            <v>20</v>
          </cell>
          <cell r="N204">
            <v>25</v>
          </cell>
          <cell r="O204">
            <v>3291209</v>
          </cell>
          <cell r="P204">
            <v>0</v>
          </cell>
          <cell r="Q204">
            <v>0</v>
          </cell>
          <cell r="R204">
            <v>3291209</v>
          </cell>
          <cell r="S204">
            <v>10000</v>
          </cell>
          <cell r="T204">
            <v>200000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131648</v>
          </cell>
          <cell r="Z204">
            <v>149421</v>
          </cell>
          <cell r="AA204">
            <v>65824</v>
          </cell>
          <cell r="AC204">
            <v>3491209</v>
          </cell>
          <cell r="AD204">
            <v>32912</v>
          </cell>
          <cell r="AE204">
            <v>65824</v>
          </cell>
          <cell r="AF204">
            <v>32912</v>
          </cell>
          <cell r="AG204">
            <v>0</v>
          </cell>
          <cell r="AH204">
            <v>0</v>
          </cell>
          <cell r="AI204">
            <v>0</v>
          </cell>
        </row>
        <row r="205">
          <cell r="B205" t="str">
            <v>02-0922-134</v>
          </cell>
          <cell r="C205" t="str">
            <v>Iwan Prakosa</v>
          </cell>
          <cell r="D205" t="str">
            <v>Kontrak</v>
          </cell>
          <cell r="E205" t="str">
            <v>Aktif</v>
          </cell>
          <cell r="G205">
            <v>30</v>
          </cell>
          <cell r="H205" t="str">
            <v>Maintenance</v>
          </cell>
          <cell r="I205" t="str">
            <v xml:space="preserve">Sound &amp;  Lighting </v>
          </cell>
          <cell r="J205" t="str">
            <v>Sound &amp;  Lighting Crew</v>
          </cell>
          <cell r="K205" t="str">
            <v>Crew</v>
          </cell>
          <cell r="L205" t="str">
            <v>0131163061</v>
          </cell>
          <cell r="M205">
            <v>20</v>
          </cell>
          <cell r="N205">
            <v>25</v>
          </cell>
          <cell r="O205">
            <v>2808388</v>
          </cell>
          <cell r="P205">
            <v>0</v>
          </cell>
          <cell r="Q205">
            <v>0</v>
          </cell>
          <cell r="R205">
            <v>2808388</v>
          </cell>
          <cell r="S205">
            <v>10000</v>
          </cell>
          <cell r="T205">
            <v>200000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112336</v>
          </cell>
          <cell r="Z205">
            <v>127501</v>
          </cell>
          <cell r="AA205">
            <v>56168</v>
          </cell>
          <cell r="AC205">
            <v>3008388</v>
          </cell>
          <cell r="AD205">
            <v>28084</v>
          </cell>
          <cell r="AE205">
            <v>56168</v>
          </cell>
          <cell r="AF205">
            <v>28084</v>
          </cell>
          <cell r="AG205">
            <v>0</v>
          </cell>
          <cell r="AH205">
            <v>0</v>
          </cell>
          <cell r="AI205">
            <v>0</v>
          </cell>
        </row>
        <row r="206">
          <cell r="B206" t="str">
            <v>02-0922-133</v>
          </cell>
          <cell r="C206" t="str">
            <v>Agung Fajar Baru</v>
          </cell>
          <cell r="D206" t="str">
            <v>Kontrak</v>
          </cell>
          <cell r="E206" t="str">
            <v>Aktif</v>
          </cell>
          <cell r="G206">
            <v>30</v>
          </cell>
          <cell r="H206" t="str">
            <v>Maintenance</v>
          </cell>
          <cell r="I206" t="str">
            <v>Maintenance</v>
          </cell>
          <cell r="J206" t="str">
            <v>ME Crew</v>
          </cell>
          <cell r="K206" t="str">
            <v>Crew</v>
          </cell>
          <cell r="L206" t="str">
            <v>2221225441</v>
          </cell>
          <cell r="M206">
            <v>20</v>
          </cell>
          <cell r="N206">
            <v>25</v>
          </cell>
          <cell r="O206">
            <v>2917967</v>
          </cell>
          <cell r="P206">
            <v>0</v>
          </cell>
          <cell r="Q206">
            <v>0</v>
          </cell>
          <cell r="R206">
            <v>2917967</v>
          </cell>
          <cell r="S206">
            <v>10000</v>
          </cell>
          <cell r="T206">
            <v>200000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116719</v>
          </cell>
          <cell r="Z206">
            <v>132476</v>
          </cell>
          <cell r="AA206">
            <v>58359</v>
          </cell>
          <cell r="AC206">
            <v>3117967</v>
          </cell>
          <cell r="AD206">
            <v>29180</v>
          </cell>
          <cell r="AE206">
            <v>58359</v>
          </cell>
          <cell r="AF206">
            <v>29180</v>
          </cell>
          <cell r="AG206">
            <v>0</v>
          </cell>
          <cell r="AH206">
            <v>0</v>
          </cell>
          <cell r="AI206">
            <v>0</v>
          </cell>
        </row>
        <row r="207">
          <cell r="B207" t="str">
            <v>02-0922-132</v>
          </cell>
          <cell r="C207" t="str">
            <v>Muhamat Ali Imron</v>
          </cell>
          <cell r="D207" t="str">
            <v>Kontrak</v>
          </cell>
          <cell r="E207" t="str">
            <v>Aktif</v>
          </cell>
          <cell r="G207">
            <v>30</v>
          </cell>
          <cell r="H207" t="str">
            <v>Maintenance</v>
          </cell>
          <cell r="I207" t="str">
            <v>Maintenance</v>
          </cell>
          <cell r="J207" t="str">
            <v>ME Crew</v>
          </cell>
          <cell r="K207" t="str">
            <v>Crew</v>
          </cell>
          <cell r="L207" t="str">
            <v>0131911776</v>
          </cell>
          <cell r="M207">
            <v>18</v>
          </cell>
          <cell r="N207">
            <v>25</v>
          </cell>
          <cell r="O207">
            <v>2750136</v>
          </cell>
          <cell r="P207">
            <v>0</v>
          </cell>
          <cell r="Q207">
            <v>0</v>
          </cell>
          <cell r="R207">
            <v>2750136</v>
          </cell>
          <cell r="S207">
            <v>10000</v>
          </cell>
          <cell r="T207">
            <v>180000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110005</v>
          </cell>
          <cell r="Z207">
            <v>124856</v>
          </cell>
          <cell r="AA207">
            <v>55003</v>
          </cell>
          <cell r="AC207">
            <v>2930136</v>
          </cell>
          <cell r="AD207">
            <v>27501</v>
          </cell>
          <cell r="AE207">
            <v>55003</v>
          </cell>
          <cell r="AF207">
            <v>27501</v>
          </cell>
          <cell r="AG207">
            <v>0</v>
          </cell>
          <cell r="AH207">
            <v>0</v>
          </cell>
          <cell r="AI207">
            <v>0</v>
          </cell>
        </row>
        <row r="208">
          <cell r="B208" t="str">
            <v>02-0922-136</v>
          </cell>
          <cell r="C208" t="str">
            <v>A. Widhi Mukti Anugro</v>
          </cell>
          <cell r="D208" t="str">
            <v>Tetap</v>
          </cell>
          <cell r="E208" t="str">
            <v>Aktif</v>
          </cell>
          <cell r="G208">
            <v>30</v>
          </cell>
          <cell r="H208" t="str">
            <v>Sales</v>
          </cell>
          <cell r="I208" t="str">
            <v>Coorporate</v>
          </cell>
          <cell r="J208" t="str">
            <v>Sales Corporate Spv</v>
          </cell>
          <cell r="K208" t="str">
            <v>SPV</v>
          </cell>
          <cell r="L208" t="str">
            <v>0130956203</v>
          </cell>
          <cell r="M208">
            <v>17</v>
          </cell>
          <cell r="N208">
            <v>21</v>
          </cell>
          <cell r="O208">
            <v>4048000</v>
          </cell>
          <cell r="P208">
            <v>1000000</v>
          </cell>
          <cell r="Q208">
            <v>0</v>
          </cell>
          <cell r="R208">
            <v>5048000</v>
          </cell>
          <cell r="S208">
            <v>19000</v>
          </cell>
          <cell r="T208">
            <v>323000</v>
          </cell>
          <cell r="U208">
            <v>100000</v>
          </cell>
          <cell r="V208">
            <v>0</v>
          </cell>
          <cell r="W208">
            <v>0</v>
          </cell>
          <cell r="X208">
            <v>0</v>
          </cell>
          <cell r="Y208">
            <v>201920</v>
          </cell>
          <cell r="Z208">
            <v>229179</v>
          </cell>
          <cell r="AA208">
            <v>100960</v>
          </cell>
          <cell r="AC208">
            <v>5471000</v>
          </cell>
          <cell r="AD208">
            <v>50480</v>
          </cell>
          <cell r="AE208">
            <v>100960</v>
          </cell>
          <cell r="AF208">
            <v>50480</v>
          </cell>
          <cell r="AG208">
            <v>0</v>
          </cell>
          <cell r="AH208">
            <v>0</v>
          </cell>
          <cell r="AI208">
            <v>0</v>
          </cell>
        </row>
        <row r="209">
          <cell r="B209" t="str">
            <v>02-0922-137</v>
          </cell>
          <cell r="C209" t="str">
            <v>Muhamad Danusiri</v>
          </cell>
          <cell r="D209" t="str">
            <v>Kontrak</v>
          </cell>
          <cell r="E209" t="str">
            <v>Aktif</v>
          </cell>
          <cell r="G209">
            <v>30</v>
          </cell>
          <cell r="H209" t="str">
            <v>Maintenance</v>
          </cell>
          <cell r="I209" t="str">
            <v>Maintenance</v>
          </cell>
          <cell r="J209" t="str">
            <v>ME Crew</v>
          </cell>
          <cell r="K209" t="str">
            <v>Crew</v>
          </cell>
          <cell r="L209" t="str">
            <v>8038002639</v>
          </cell>
          <cell r="M209">
            <v>19</v>
          </cell>
          <cell r="N209">
            <v>25</v>
          </cell>
          <cell r="O209">
            <v>2808388</v>
          </cell>
          <cell r="P209">
            <v>0</v>
          </cell>
          <cell r="Q209">
            <v>0</v>
          </cell>
          <cell r="R209">
            <v>2808388</v>
          </cell>
          <cell r="S209">
            <v>10000</v>
          </cell>
          <cell r="T209">
            <v>190000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112336</v>
          </cell>
          <cell r="Z209">
            <v>127501</v>
          </cell>
          <cell r="AA209">
            <v>56168</v>
          </cell>
          <cell r="AC209">
            <v>2998388</v>
          </cell>
          <cell r="AD209">
            <v>28084</v>
          </cell>
          <cell r="AE209">
            <v>56168</v>
          </cell>
          <cell r="AF209">
            <v>28084</v>
          </cell>
          <cell r="AG209">
            <v>0</v>
          </cell>
          <cell r="AH209">
            <v>0</v>
          </cell>
          <cell r="AI209">
            <v>28084</v>
          </cell>
        </row>
        <row r="210">
          <cell r="B210" t="str">
            <v>02-0922-170</v>
          </cell>
          <cell r="C210" t="str">
            <v>Arinda Dwi Utomo</v>
          </cell>
          <cell r="D210" t="str">
            <v>Kontrak</v>
          </cell>
          <cell r="E210" t="str">
            <v>Aktif</v>
          </cell>
          <cell r="G210">
            <v>30</v>
          </cell>
          <cell r="H210" t="str">
            <v>Finance &amp; Accounting</v>
          </cell>
          <cell r="I210" t="str">
            <v>Warehouse</v>
          </cell>
          <cell r="J210" t="str">
            <v>Warehouse Crew</v>
          </cell>
          <cell r="K210" t="str">
            <v>Crew</v>
          </cell>
          <cell r="L210" t="str">
            <v>0131132581</v>
          </cell>
          <cell r="M210">
            <v>20</v>
          </cell>
          <cell r="N210">
            <v>21</v>
          </cell>
          <cell r="O210">
            <v>2750136</v>
          </cell>
          <cell r="P210">
            <v>0</v>
          </cell>
          <cell r="Q210">
            <v>0</v>
          </cell>
          <cell r="R210">
            <v>2750136</v>
          </cell>
          <cell r="S210">
            <v>10000</v>
          </cell>
          <cell r="T210">
            <v>200000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110005</v>
          </cell>
          <cell r="Z210">
            <v>124856</v>
          </cell>
          <cell r="AA210">
            <v>55003</v>
          </cell>
          <cell r="AC210">
            <v>2950136</v>
          </cell>
          <cell r="AD210">
            <v>27501</v>
          </cell>
          <cell r="AE210">
            <v>55003</v>
          </cell>
          <cell r="AF210">
            <v>27501</v>
          </cell>
          <cell r="AG210">
            <v>0</v>
          </cell>
          <cell r="AH210">
            <v>0</v>
          </cell>
          <cell r="AI210">
            <v>0</v>
          </cell>
        </row>
        <row r="211">
          <cell r="B211" t="str">
            <v>02-0922-171</v>
          </cell>
          <cell r="C211" t="str">
            <v>Yohanes Tiyeri Putra Ganggur</v>
          </cell>
          <cell r="D211" t="str">
            <v>Kontrak</v>
          </cell>
          <cell r="E211" t="str">
            <v>Aktif</v>
          </cell>
          <cell r="G211">
            <v>30</v>
          </cell>
          <cell r="H211" t="str">
            <v>Finance &amp; Accounting</v>
          </cell>
          <cell r="I211" t="str">
            <v>Warehouse</v>
          </cell>
          <cell r="J211" t="str">
            <v>Warehouse Crew</v>
          </cell>
          <cell r="K211" t="str">
            <v>Crew</v>
          </cell>
          <cell r="L211" t="str">
            <v>0131910907</v>
          </cell>
          <cell r="M211">
            <v>19</v>
          </cell>
          <cell r="N211">
            <v>21</v>
          </cell>
          <cell r="O211">
            <v>2750136</v>
          </cell>
          <cell r="P211">
            <v>0</v>
          </cell>
          <cell r="Q211">
            <v>0</v>
          </cell>
          <cell r="R211">
            <v>2750136</v>
          </cell>
          <cell r="S211">
            <v>10000</v>
          </cell>
          <cell r="T211">
            <v>190000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110005</v>
          </cell>
          <cell r="Z211">
            <v>124856</v>
          </cell>
          <cell r="AA211">
            <v>55003</v>
          </cell>
          <cell r="AC211">
            <v>2940136</v>
          </cell>
          <cell r="AD211">
            <v>27501</v>
          </cell>
          <cell r="AE211">
            <v>55003</v>
          </cell>
          <cell r="AF211">
            <v>27501</v>
          </cell>
          <cell r="AG211">
            <v>0</v>
          </cell>
          <cell r="AH211">
            <v>0</v>
          </cell>
          <cell r="AI211">
            <v>0</v>
          </cell>
        </row>
        <row r="212">
          <cell r="B212" t="str">
            <v>02-0922-172</v>
          </cell>
          <cell r="C212" t="str">
            <v>Valentino Febriant Nugraha Putra</v>
          </cell>
          <cell r="D212" t="str">
            <v>Tetap</v>
          </cell>
          <cell r="E212" t="str">
            <v>Aktif</v>
          </cell>
          <cell r="G212">
            <v>30</v>
          </cell>
          <cell r="H212" t="str">
            <v>Marketing &amp; Partenership</v>
          </cell>
          <cell r="I212" t="str">
            <v>Marketing Communication</v>
          </cell>
          <cell r="J212" t="str">
            <v>Desain Graphic Officer</v>
          </cell>
          <cell r="K212" t="str">
            <v>Officer</v>
          </cell>
          <cell r="L212" t="str">
            <v>3200640658</v>
          </cell>
          <cell r="M212">
            <v>18</v>
          </cell>
          <cell r="N212">
            <v>21</v>
          </cell>
          <cell r="O212">
            <v>3313962</v>
          </cell>
          <cell r="P212">
            <v>500000</v>
          </cell>
          <cell r="Q212">
            <v>0</v>
          </cell>
          <cell r="R212">
            <v>3813962</v>
          </cell>
          <cell r="S212">
            <v>11900</v>
          </cell>
          <cell r="T212">
            <v>214200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152558</v>
          </cell>
          <cell r="Z212">
            <v>173154</v>
          </cell>
          <cell r="AA212">
            <v>76279</v>
          </cell>
          <cell r="AC212">
            <v>4028162</v>
          </cell>
          <cell r="AD212">
            <v>38140</v>
          </cell>
          <cell r="AE212">
            <v>76279</v>
          </cell>
          <cell r="AF212">
            <v>38140</v>
          </cell>
          <cell r="AG212">
            <v>0</v>
          </cell>
          <cell r="AH212">
            <v>0</v>
          </cell>
          <cell r="AI212">
            <v>0</v>
          </cell>
        </row>
        <row r="213">
          <cell r="B213" t="str">
            <v>02-0922-138</v>
          </cell>
          <cell r="C213" t="str">
            <v>Anisya Seffian Tri Mulya</v>
          </cell>
          <cell r="D213" t="str">
            <v>Kontrak</v>
          </cell>
          <cell r="E213" t="str">
            <v>Aktif</v>
          </cell>
          <cell r="G213">
            <v>33</v>
          </cell>
          <cell r="H213" t="str">
            <v>Inpark Revenue</v>
          </cell>
          <cell r="I213" t="str">
            <v>Inpark Revenue Operational</v>
          </cell>
          <cell r="J213" t="str">
            <v>Inpark Revenue Operational Crew</v>
          </cell>
          <cell r="K213" t="str">
            <v>Crew</v>
          </cell>
          <cell r="L213" t="str">
            <v>2221195428</v>
          </cell>
          <cell r="M213">
            <v>21</v>
          </cell>
          <cell r="N213">
            <v>25</v>
          </cell>
          <cell r="O213">
            <v>2750136</v>
          </cell>
          <cell r="P213">
            <v>0</v>
          </cell>
          <cell r="Q213">
            <v>0</v>
          </cell>
          <cell r="R213">
            <v>2750136</v>
          </cell>
          <cell r="S213">
            <v>10000</v>
          </cell>
          <cell r="T213">
            <v>210000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110005</v>
          </cell>
          <cell r="Z213">
            <v>124856</v>
          </cell>
          <cell r="AA213">
            <v>55003</v>
          </cell>
          <cell r="AC213">
            <v>2960136</v>
          </cell>
          <cell r="AD213">
            <v>27501</v>
          </cell>
          <cell r="AE213">
            <v>55003</v>
          </cell>
          <cell r="AF213">
            <v>27501</v>
          </cell>
          <cell r="AG213">
            <v>0</v>
          </cell>
          <cell r="AH213">
            <v>0</v>
          </cell>
          <cell r="AI213">
            <v>0</v>
          </cell>
        </row>
        <row r="214">
          <cell r="B214" t="str">
            <v>02-0922-139</v>
          </cell>
          <cell r="C214" t="str">
            <v>Agus Setiawan</v>
          </cell>
          <cell r="D214" t="str">
            <v>Kontrak</v>
          </cell>
          <cell r="E214" t="str">
            <v>Aktif</v>
          </cell>
          <cell r="G214">
            <v>33</v>
          </cell>
          <cell r="H214" t="str">
            <v>Inpark Revenue</v>
          </cell>
          <cell r="I214" t="str">
            <v>Inpark Revenue Operational</v>
          </cell>
          <cell r="J214" t="str">
            <v>Inpark Revenue Operational Crew</v>
          </cell>
          <cell r="K214" t="str">
            <v>Crew</v>
          </cell>
          <cell r="L214" t="str">
            <v>0131858867</v>
          </cell>
          <cell r="M214">
            <v>21</v>
          </cell>
          <cell r="N214">
            <v>25</v>
          </cell>
          <cell r="O214">
            <v>2750136</v>
          </cell>
          <cell r="P214">
            <v>0</v>
          </cell>
          <cell r="Q214">
            <v>0</v>
          </cell>
          <cell r="R214">
            <v>2750136</v>
          </cell>
          <cell r="S214">
            <v>10000</v>
          </cell>
          <cell r="T214">
            <v>210000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110005</v>
          </cell>
          <cell r="Z214">
            <v>124856</v>
          </cell>
          <cell r="AA214">
            <v>55003</v>
          </cell>
          <cell r="AC214">
            <v>2960136</v>
          </cell>
          <cell r="AD214">
            <v>27501</v>
          </cell>
          <cell r="AE214">
            <v>55003</v>
          </cell>
          <cell r="AF214">
            <v>27501</v>
          </cell>
          <cell r="AG214">
            <v>0</v>
          </cell>
          <cell r="AH214">
            <v>0</v>
          </cell>
          <cell r="AI214">
            <v>0</v>
          </cell>
        </row>
        <row r="215">
          <cell r="B215" t="str">
            <v>02-0922-142</v>
          </cell>
          <cell r="C215" t="str">
            <v>Ilham Indra Mawan</v>
          </cell>
          <cell r="D215" t="str">
            <v>Kontrak</v>
          </cell>
          <cell r="E215" t="str">
            <v>Aktif</v>
          </cell>
          <cell r="G215">
            <v>33</v>
          </cell>
          <cell r="H215" t="str">
            <v>Inpark Revenue</v>
          </cell>
          <cell r="I215" t="str">
            <v>Inpark Revenue Operational</v>
          </cell>
          <cell r="J215" t="str">
            <v>Inpark Revenue Operational Crew</v>
          </cell>
          <cell r="K215" t="str">
            <v>Crew</v>
          </cell>
          <cell r="L215" t="str">
            <v>8030588542</v>
          </cell>
          <cell r="M215">
            <v>19</v>
          </cell>
          <cell r="N215">
            <v>25</v>
          </cell>
          <cell r="O215">
            <v>2750136</v>
          </cell>
          <cell r="P215">
            <v>0</v>
          </cell>
          <cell r="Q215">
            <v>0</v>
          </cell>
          <cell r="R215">
            <v>2750136</v>
          </cell>
          <cell r="S215">
            <v>10000</v>
          </cell>
          <cell r="T215">
            <v>190000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110005</v>
          </cell>
          <cell r="Z215">
            <v>124856</v>
          </cell>
          <cell r="AA215">
            <v>55003</v>
          </cell>
          <cell r="AC215">
            <v>2940136</v>
          </cell>
          <cell r="AD215">
            <v>27501</v>
          </cell>
          <cell r="AE215">
            <v>55003</v>
          </cell>
          <cell r="AF215">
            <v>27501</v>
          </cell>
          <cell r="AG215">
            <v>0</v>
          </cell>
          <cell r="AH215">
            <v>0</v>
          </cell>
          <cell r="AI215">
            <v>0</v>
          </cell>
        </row>
        <row r="216">
          <cell r="B216" t="str">
            <v>02-0922-144</v>
          </cell>
          <cell r="C216" t="str">
            <v>Ridwan Fathurochim</v>
          </cell>
          <cell r="D216" t="str">
            <v>Kontrak</v>
          </cell>
          <cell r="E216" t="str">
            <v>Aktif</v>
          </cell>
          <cell r="G216">
            <v>33</v>
          </cell>
          <cell r="H216" t="str">
            <v>Inpark Revenue</v>
          </cell>
          <cell r="I216" t="str">
            <v>Inpark Revenue Operational</v>
          </cell>
          <cell r="J216" t="str">
            <v>Inpark Revenue Operational Team Leader</v>
          </cell>
          <cell r="K216" t="str">
            <v>Crew</v>
          </cell>
          <cell r="L216" t="str">
            <v>8038000831</v>
          </cell>
          <cell r="M216">
            <v>21</v>
          </cell>
          <cell r="N216">
            <v>25</v>
          </cell>
          <cell r="O216">
            <v>2750136</v>
          </cell>
          <cell r="P216">
            <v>0</v>
          </cell>
          <cell r="Q216">
            <v>0</v>
          </cell>
          <cell r="R216">
            <v>2750136</v>
          </cell>
          <cell r="S216">
            <v>10000</v>
          </cell>
          <cell r="T216">
            <v>210000</v>
          </cell>
          <cell r="U216">
            <v>0</v>
          </cell>
          <cell r="V216">
            <v>0</v>
          </cell>
          <cell r="W216">
            <v>200000</v>
          </cell>
          <cell r="X216">
            <v>0</v>
          </cell>
          <cell r="Y216">
            <v>110005</v>
          </cell>
          <cell r="Z216">
            <v>124856</v>
          </cell>
          <cell r="AA216">
            <v>55003</v>
          </cell>
          <cell r="AC216">
            <v>3160136</v>
          </cell>
          <cell r="AD216">
            <v>27501</v>
          </cell>
          <cell r="AE216">
            <v>55003</v>
          </cell>
          <cell r="AF216">
            <v>27501</v>
          </cell>
          <cell r="AG216">
            <v>0</v>
          </cell>
          <cell r="AH216">
            <v>0</v>
          </cell>
          <cell r="AI216">
            <v>0</v>
          </cell>
        </row>
        <row r="217">
          <cell r="B217" t="str">
            <v>02-0922-162</v>
          </cell>
          <cell r="C217" t="str">
            <v>Shinta Kusumawardhani</v>
          </cell>
          <cell r="D217" t="str">
            <v>Kontrak</v>
          </cell>
          <cell r="E217" t="str">
            <v>Aktif</v>
          </cell>
          <cell r="G217">
            <v>33</v>
          </cell>
          <cell r="H217" t="str">
            <v>Operation</v>
          </cell>
          <cell r="I217" t="str">
            <v>Operation</v>
          </cell>
          <cell r="J217" t="str">
            <v>Perawat</v>
          </cell>
          <cell r="K217" t="str">
            <v>Crew</v>
          </cell>
          <cell r="L217" t="str">
            <v>2221206446</v>
          </cell>
          <cell r="M217">
            <v>18</v>
          </cell>
          <cell r="N217">
            <v>21</v>
          </cell>
          <cell r="O217">
            <v>2945757</v>
          </cell>
          <cell r="P217">
            <v>0</v>
          </cell>
          <cell r="Q217">
            <v>0</v>
          </cell>
          <cell r="R217">
            <v>2945757</v>
          </cell>
          <cell r="S217">
            <v>10000</v>
          </cell>
          <cell r="T217">
            <v>180000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117830</v>
          </cell>
          <cell r="Z217">
            <v>133737</v>
          </cell>
          <cell r="AA217">
            <v>58915</v>
          </cell>
          <cell r="AC217">
            <v>3125757</v>
          </cell>
          <cell r="AD217">
            <v>29458</v>
          </cell>
          <cell r="AE217">
            <v>58915</v>
          </cell>
          <cell r="AF217">
            <v>29458</v>
          </cell>
          <cell r="AG217">
            <v>0</v>
          </cell>
          <cell r="AH217">
            <v>0</v>
          </cell>
          <cell r="AI217">
            <v>0</v>
          </cell>
        </row>
        <row r="218">
          <cell r="B218" t="str">
            <v>02-0922-148</v>
          </cell>
          <cell r="C218" t="str">
            <v>Sallsabila</v>
          </cell>
          <cell r="D218" t="str">
            <v>Kontrak</v>
          </cell>
          <cell r="E218" t="str">
            <v>Aktif</v>
          </cell>
          <cell r="G218">
            <v>33</v>
          </cell>
          <cell r="H218" t="str">
            <v>Inpark Revenue</v>
          </cell>
          <cell r="I218" t="str">
            <v>Inpark Revenue Operational</v>
          </cell>
          <cell r="J218" t="str">
            <v>Inpark Revenue Operational Crew</v>
          </cell>
          <cell r="K218" t="str">
            <v>Crew</v>
          </cell>
          <cell r="L218" t="str">
            <v>0131865618</v>
          </cell>
          <cell r="M218">
            <v>21</v>
          </cell>
          <cell r="N218">
            <v>25</v>
          </cell>
          <cell r="O218">
            <v>2750136</v>
          </cell>
          <cell r="P218">
            <v>0</v>
          </cell>
          <cell r="Q218">
            <v>0</v>
          </cell>
          <cell r="R218">
            <v>2750136</v>
          </cell>
          <cell r="S218">
            <v>10000</v>
          </cell>
          <cell r="T218">
            <v>210000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110005</v>
          </cell>
          <cell r="Z218">
            <v>124856</v>
          </cell>
          <cell r="AA218">
            <v>55003</v>
          </cell>
          <cell r="AC218">
            <v>2960136</v>
          </cell>
          <cell r="AD218">
            <v>27501</v>
          </cell>
          <cell r="AE218">
            <v>55003</v>
          </cell>
          <cell r="AF218">
            <v>27501</v>
          </cell>
          <cell r="AG218">
            <v>0</v>
          </cell>
          <cell r="AH218">
            <v>0</v>
          </cell>
          <cell r="AI218">
            <v>0</v>
          </cell>
        </row>
        <row r="219">
          <cell r="B219" t="str">
            <v>02-0922-151</v>
          </cell>
          <cell r="C219" t="str">
            <v>Andry Sus Darista</v>
          </cell>
          <cell r="D219" t="str">
            <v>Kontrak</v>
          </cell>
          <cell r="E219" t="str">
            <v>Aktif</v>
          </cell>
          <cell r="G219">
            <v>32</v>
          </cell>
          <cell r="H219" t="str">
            <v>Operation</v>
          </cell>
          <cell r="I219" t="str">
            <v>Cleaning &amp; Security</v>
          </cell>
          <cell r="J219" t="str">
            <v>Security</v>
          </cell>
          <cell r="K219" t="str">
            <v>Crew</v>
          </cell>
          <cell r="L219" t="str">
            <v>0131876466</v>
          </cell>
          <cell r="M219">
            <v>22</v>
          </cell>
          <cell r="N219">
            <v>25</v>
          </cell>
          <cell r="O219">
            <v>2750136</v>
          </cell>
          <cell r="P219">
            <v>0</v>
          </cell>
          <cell r="Q219">
            <v>0</v>
          </cell>
          <cell r="R219">
            <v>2750136</v>
          </cell>
          <cell r="S219">
            <v>10000</v>
          </cell>
          <cell r="T219">
            <v>220000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110005</v>
          </cell>
          <cell r="Z219">
            <v>124856</v>
          </cell>
          <cell r="AA219">
            <v>55003</v>
          </cell>
          <cell r="AC219">
            <v>2970136</v>
          </cell>
          <cell r="AD219">
            <v>27501</v>
          </cell>
          <cell r="AE219">
            <v>55003</v>
          </cell>
          <cell r="AF219">
            <v>27501</v>
          </cell>
          <cell r="AG219">
            <v>0</v>
          </cell>
          <cell r="AH219">
            <v>0</v>
          </cell>
          <cell r="AI219">
            <v>0</v>
          </cell>
        </row>
        <row r="220">
          <cell r="B220" t="str">
            <v>02-0922-169</v>
          </cell>
          <cell r="C220" t="str">
            <v>Muhammad Irwan Himawan</v>
          </cell>
          <cell r="D220" t="str">
            <v>Kontrak</v>
          </cell>
          <cell r="E220" t="str">
            <v>Aktif</v>
          </cell>
          <cell r="G220">
            <v>31</v>
          </cell>
          <cell r="H220" t="str">
            <v>Operation</v>
          </cell>
          <cell r="I220" t="str">
            <v>Operation</v>
          </cell>
          <cell r="J220" t="str">
            <v>Entertainment Officer</v>
          </cell>
          <cell r="K220" t="str">
            <v>Officer</v>
          </cell>
          <cell r="L220" t="str">
            <v>0373906082</v>
          </cell>
          <cell r="M220">
            <v>20</v>
          </cell>
          <cell r="N220">
            <v>21</v>
          </cell>
          <cell r="O220">
            <v>3307500</v>
          </cell>
          <cell r="P220">
            <v>500000</v>
          </cell>
          <cell r="Q220">
            <v>0</v>
          </cell>
          <cell r="R220">
            <v>3807500</v>
          </cell>
          <cell r="S220">
            <v>11900</v>
          </cell>
          <cell r="T220">
            <v>238000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152300</v>
          </cell>
          <cell r="Z220">
            <v>172861</v>
          </cell>
          <cell r="AA220">
            <v>76150</v>
          </cell>
          <cell r="AC220">
            <v>4045500</v>
          </cell>
          <cell r="AD220">
            <v>38075</v>
          </cell>
          <cell r="AE220">
            <v>76150</v>
          </cell>
          <cell r="AF220">
            <v>38075</v>
          </cell>
          <cell r="AG220">
            <v>0</v>
          </cell>
          <cell r="AH220">
            <v>0</v>
          </cell>
          <cell r="AI220">
            <v>0</v>
          </cell>
        </row>
        <row r="221">
          <cell r="B221" t="str">
            <v>02-0922-152</v>
          </cell>
          <cell r="C221" t="str">
            <v>Andri Bagus Septiawan</v>
          </cell>
          <cell r="D221" t="str">
            <v>Kontrak</v>
          </cell>
          <cell r="E221" t="str">
            <v>Aktif</v>
          </cell>
          <cell r="G221">
            <v>31</v>
          </cell>
          <cell r="H221" t="str">
            <v>Maintenance</v>
          </cell>
          <cell r="I221" t="str">
            <v>Landscape &amp; Environment</v>
          </cell>
          <cell r="J221" t="str">
            <v>Landscape Crew</v>
          </cell>
          <cell r="K221" t="str">
            <v>Crew</v>
          </cell>
          <cell r="L221" t="str">
            <v>2221215411</v>
          </cell>
          <cell r="M221">
            <v>22</v>
          </cell>
          <cell r="N221">
            <v>25</v>
          </cell>
          <cell r="O221">
            <v>2750136</v>
          </cell>
          <cell r="P221">
            <v>0</v>
          </cell>
          <cell r="Q221">
            <v>0</v>
          </cell>
          <cell r="R221">
            <v>2750136</v>
          </cell>
          <cell r="S221">
            <v>10000</v>
          </cell>
          <cell r="T221">
            <v>220000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110005</v>
          </cell>
          <cell r="Z221">
            <v>124856</v>
          </cell>
          <cell r="AA221">
            <v>55003</v>
          </cell>
          <cell r="AC221">
            <v>2970136</v>
          </cell>
          <cell r="AD221">
            <v>27501</v>
          </cell>
          <cell r="AE221">
            <v>55003</v>
          </cell>
          <cell r="AF221">
            <v>27501</v>
          </cell>
          <cell r="AG221">
            <v>0</v>
          </cell>
          <cell r="AH221">
            <v>0</v>
          </cell>
          <cell r="AI221">
            <v>0</v>
          </cell>
        </row>
        <row r="222">
          <cell r="B222" t="str">
            <v>02-0922-153</v>
          </cell>
          <cell r="C222" t="str">
            <v>Denny Susanto</v>
          </cell>
          <cell r="D222" t="str">
            <v>Kontrak</v>
          </cell>
          <cell r="E222" t="str">
            <v>Aktif</v>
          </cell>
          <cell r="G222">
            <v>31</v>
          </cell>
          <cell r="H222" t="str">
            <v>Maintenance</v>
          </cell>
          <cell r="I222" t="str">
            <v>Landscape &amp; Environment</v>
          </cell>
          <cell r="J222" t="str">
            <v>Landscape Crew</v>
          </cell>
          <cell r="K222" t="str">
            <v>Crew</v>
          </cell>
          <cell r="L222" t="str">
            <v>2221215810</v>
          </cell>
          <cell r="M222">
            <v>22</v>
          </cell>
          <cell r="N222">
            <v>25</v>
          </cell>
          <cell r="O222">
            <v>2750136</v>
          </cell>
          <cell r="P222">
            <v>0</v>
          </cell>
          <cell r="Q222">
            <v>0</v>
          </cell>
          <cell r="R222">
            <v>2750136</v>
          </cell>
          <cell r="S222">
            <v>10000</v>
          </cell>
          <cell r="T222">
            <v>220000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110005</v>
          </cell>
          <cell r="Z222">
            <v>124856</v>
          </cell>
          <cell r="AA222">
            <v>55003</v>
          </cell>
          <cell r="AC222">
            <v>2970136</v>
          </cell>
          <cell r="AD222">
            <v>27501</v>
          </cell>
          <cell r="AE222">
            <v>55003</v>
          </cell>
          <cell r="AF222">
            <v>27501</v>
          </cell>
          <cell r="AG222">
            <v>0</v>
          </cell>
          <cell r="AH222">
            <v>0</v>
          </cell>
          <cell r="AI222">
            <v>0</v>
          </cell>
        </row>
        <row r="223">
          <cell r="B223" t="str">
            <v>02-0922-154</v>
          </cell>
          <cell r="C223" t="str">
            <v>Ponijan</v>
          </cell>
          <cell r="D223" t="str">
            <v>Kontrak</v>
          </cell>
          <cell r="E223" t="str">
            <v>Aktif</v>
          </cell>
          <cell r="G223">
            <v>31</v>
          </cell>
          <cell r="H223" t="str">
            <v>Maintenance</v>
          </cell>
          <cell r="I223" t="str">
            <v>Landscape &amp; Environment</v>
          </cell>
          <cell r="J223" t="str">
            <v>Landscape Crew</v>
          </cell>
          <cell r="K223" t="str">
            <v>Crew</v>
          </cell>
          <cell r="L223" t="str">
            <v>2220286099</v>
          </cell>
          <cell r="M223">
            <v>20</v>
          </cell>
          <cell r="N223">
            <v>25</v>
          </cell>
          <cell r="O223">
            <v>2750136</v>
          </cell>
          <cell r="P223">
            <v>0</v>
          </cell>
          <cell r="Q223">
            <v>0</v>
          </cell>
          <cell r="R223">
            <v>2750136</v>
          </cell>
          <cell r="S223">
            <v>10000</v>
          </cell>
          <cell r="T223">
            <v>200000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110005</v>
          </cell>
          <cell r="Z223">
            <v>124856</v>
          </cell>
          <cell r="AA223">
            <v>55003</v>
          </cell>
          <cell r="AC223">
            <v>2950136</v>
          </cell>
          <cell r="AD223">
            <v>27501</v>
          </cell>
          <cell r="AE223">
            <v>55003</v>
          </cell>
          <cell r="AF223">
            <v>27501</v>
          </cell>
          <cell r="AG223">
            <v>0</v>
          </cell>
          <cell r="AH223">
            <v>0</v>
          </cell>
          <cell r="AI223">
            <v>0</v>
          </cell>
        </row>
        <row r="224">
          <cell r="B224" t="str">
            <v>02-0922-158</v>
          </cell>
          <cell r="C224" t="str">
            <v>Ganang Yaqut Haqqul Fatta</v>
          </cell>
          <cell r="D224" t="str">
            <v>Kontrak</v>
          </cell>
          <cell r="E224" t="str">
            <v>Aktif</v>
          </cell>
          <cell r="G224">
            <v>31</v>
          </cell>
          <cell r="H224" t="str">
            <v>Inpark Revenue</v>
          </cell>
          <cell r="I224" t="str">
            <v>Inpark Revenue Operational</v>
          </cell>
          <cell r="J224" t="str">
            <v>Inpark Revenue Operational Crew</v>
          </cell>
          <cell r="K224" t="str">
            <v>Crew</v>
          </cell>
          <cell r="L224" t="str">
            <v>0131681495</v>
          </cell>
          <cell r="M224">
            <v>20</v>
          </cell>
          <cell r="N224">
            <v>25</v>
          </cell>
          <cell r="O224">
            <v>2750136</v>
          </cell>
          <cell r="P224">
            <v>0</v>
          </cell>
          <cell r="Q224">
            <v>0</v>
          </cell>
          <cell r="R224">
            <v>2750136</v>
          </cell>
          <cell r="S224">
            <v>10000</v>
          </cell>
          <cell r="T224">
            <v>200000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110005</v>
          </cell>
          <cell r="Z224">
            <v>124856</v>
          </cell>
          <cell r="AA224">
            <v>55003</v>
          </cell>
          <cell r="AC224">
            <v>2950136</v>
          </cell>
          <cell r="AD224">
            <v>27501</v>
          </cell>
          <cell r="AE224">
            <v>55003</v>
          </cell>
          <cell r="AF224">
            <v>27501</v>
          </cell>
          <cell r="AG224">
            <v>0</v>
          </cell>
          <cell r="AH224">
            <v>0</v>
          </cell>
          <cell r="AI224">
            <v>0</v>
          </cell>
        </row>
        <row r="225">
          <cell r="B225" t="str">
            <v>02-1022-173</v>
          </cell>
          <cell r="C225" t="str">
            <v>Miftahunnaim</v>
          </cell>
          <cell r="D225" t="str">
            <v>Kontrak</v>
          </cell>
          <cell r="E225" t="str">
            <v>Aktif</v>
          </cell>
          <cell r="G225">
            <v>29</v>
          </cell>
          <cell r="H225" t="str">
            <v>Maintenance</v>
          </cell>
          <cell r="I225" t="str">
            <v>Maintenance</v>
          </cell>
          <cell r="J225" t="str">
            <v>ME Crew</v>
          </cell>
          <cell r="K225" t="str">
            <v>Crew</v>
          </cell>
          <cell r="L225" t="str">
            <v>2221238194</v>
          </cell>
          <cell r="M225">
            <v>24</v>
          </cell>
          <cell r="N225">
            <v>25</v>
          </cell>
          <cell r="O225">
            <v>2750136</v>
          </cell>
          <cell r="P225">
            <v>0</v>
          </cell>
          <cell r="Q225">
            <v>0</v>
          </cell>
          <cell r="R225">
            <v>2750136</v>
          </cell>
          <cell r="S225">
            <v>10000</v>
          </cell>
          <cell r="T225">
            <v>240000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110005</v>
          </cell>
          <cell r="Z225">
            <v>124856</v>
          </cell>
          <cell r="AA225">
            <v>55003</v>
          </cell>
          <cell r="AC225">
            <v>2990136</v>
          </cell>
          <cell r="AD225">
            <v>27501</v>
          </cell>
          <cell r="AE225">
            <v>55003</v>
          </cell>
          <cell r="AF225">
            <v>27501</v>
          </cell>
          <cell r="AG225">
            <v>0</v>
          </cell>
          <cell r="AH225">
            <v>0</v>
          </cell>
          <cell r="AI225">
            <v>0</v>
          </cell>
        </row>
        <row r="226">
          <cell r="B226" t="str">
            <v>02-1022-174</v>
          </cell>
          <cell r="C226" t="str">
            <v>Ahmad Hariyanto</v>
          </cell>
          <cell r="D226" t="str">
            <v>Kontrak</v>
          </cell>
          <cell r="E226" t="str">
            <v>Aktif</v>
          </cell>
          <cell r="G226">
            <v>29</v>
          </cell>
          <cell r="H226" t="str">
            <v>Maintenance</v>
          </cell>
          <cell r="I226" t="str">
            <v>Maintenance</v>
          </cell>
          <cell r="J226" t="str">
            <v>ME Crew</v>
          </cell>
          <cell r="K226" t="str">
            <v>Crew</v>
          </cell>
          <cell r="L226" t="str">
            <v>0131934067</v>
          </cell>
          <cell r="M226">
            <v>21</v>
          </cell>
          <cell r="N226">
            <v>25</v>
          </cell>
          <cell r="O226">
            <v>2750136</v>
          </cell>
          <cell r="P226">
            <v>0</v>
          </cell>
          <cell r="Q226">
            <v>0</v>
          </cell>
          <cell r="R226">
            <v>2750136</v>
          </cell>
          <cell r="S226">
            <v>10000</v>
          </cell>
          <cell r="T226">
            <v>210000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110005</v>
          </cell>
          <cell r="Z226">
            <v>124856</v>
          </cell>
          <cell r="AA226">
            <v>55003</v>
          </cell>
          <cell r="AC226">
            <v>2960136</v>
          </cell>
          <cell r="AD226">
            <v>27501</v>
          </cell>
          <cell r="AE226">
            <v>55003</v>
          </cell>
          <cell r="AF226">
            <v>27501</v>
          </cell>
          <cell r="AG226">
            <v>0</v>
          </cell>
          <cell r="AH226">
            <v>0</v>
          </cell>
          <cell r="AI226">
            <v>0</v>
          </cell>
        </row>
        <row r="227">
          <cell r="B227" t="str">
            <v>02-1022-176</v>
          </cell>
          <cell r="C227" t="str">
            <v>Rizky Dian Pratama</v>
          </cell>
          <cell r="D227" t="str">
            <v>Kontrak</v>
          </cell>
          <cell r="E227" t="str">
            <v>Aktif</v>
          </cell>
          <cell r="G227">
            <v>32</v>
          </cell>
          <cell r="H227" t="str">
            <v>Inpark Revenue</v>
          </cell>
          <cell r="I227" t="str">
            <v>Inpark Revenue Operational</v>
          </cell>
          <cell r="J227" t="str">
            <v>Inpark Revenue Operational Crew</v>
          </cell>
          <cell r="K227" t="str">
            <v>Crew</v>
          </cell>
          <cell r="L227" t="str">
            <v>8038001489</v>
          </cell>
          <cell r="M227">
            <v>21</v>
          </cell>
          <cell r="N227">
            <v>25</v>
          </cell>
          <cell r="O227">
            <v>2750136</v>
          </cell>
          <cell r="P227">
            <v>0</v>
          </cell>
          <cell r="Q227">
            <v>0</v>
          </cell>
          <cell r="R227">
            <v>2750136</v>
          </cell>
          <cell r="S227">
            <v>10000</v>
          </cell>
          <cell r="T227">
            <v>210000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110005</v>
          </cell>
          <cell r="Z227">
            <v>124856</v>
          </cell>
          <cell r="AA227">
            <v>55003</v>
          </cell>
          <cell r="AC227">
            <v>2960136</v>
          </cell>
          <cell r="AD227">
            <v>27501</v>
          </cell>
          <cell r="AE227">
            <v>55003</v>
          </cell>
          <cell r="AF227">
            <v>27501</v>
          </cell>
          <cell r="AG227">
            <v>0</v>
          </cell>
          <cell r="AH227">
            <v>0</v>
          </cell>
          <cell r="AI227">
            <v>0</v>
          </cell>
        </row>
        <row r="228">
          <cell r="B228" t="str">
            <v>02-1022-180</v>
          </cell>
          <cell r="C228" t="str">
            <v>Junjung Allif Muzaki</v>
          </cell>
          <cell r="D228" t="str">
            <v>Kontrak</v>
          </cell>
          <cell r="E228" t="str">
            <v>Aktif</v>
          </cell>
          <cell r="G228">
            <v>32</v>
          </cell>
          <cell r="H228" t="str">
            <v>Operation</v>
          </cell>
          <cell r="I228" t="str">
            <v>Cleaning &amp; Security</v>
          </cell>
          <cell r="J228" t="str">
            <v>Security</v>
          </cell>
          <cell r="K228" t="str">
            <v>Crew</v>
          </cell>
          <cell r="L228" t="str">
            <v>0131889291</v>
          </cell>
          <cell r="M228">
            <v>21</v>
          </cell>
          <cell r="N228">
            <v>25</v>
          </cell>
          <cell r="O228">
            <v>2750136</v>
          </cell>
          <cell r="P228">
            <v>0</v>
          </cell>
          <cell r="Q228">
            <v>0</v>
          </cell>
          <cell r="R228">
            <v>2750136</v>
          </cell>
          <cell r="S228">
            <v>10000</v>
          </cell>
          <cell r="T228">
            <v>210000</v>
          </cell>
          <cell r="U228">
            <v>0</v>
          </cell>
          <cell r="V228">
            <v>55639</v>
          </cell>
          <cell r="W228">
            <v>0</v>
          </cell>
          <cell r="X228">
            <v>0</v>
          </cell>
          <cell r="Y228">
            <v>110005</v>
          </cell>
          <cell r="Z228">
            <v>124856</v>
          </cell>
          <cell r="AA228">
            <v>55003</v>
          </cell>
          <cell r="AC228">
            <v>3015775</v>
          </cell>
          <cell r="AD228">
            <v>27501</v>
          </cell>
          <cell r="AE228">
            <v>55003</v>
          </cell>
          <cell r="AF228">
            <v>27501</v>
          </cell>
          <cell r="AG228">
            <v>0</v>
          </cell>
          <cell r="AH228">
            <v>0</v>
          </cell>
          <cell r="AI228">
            <v>0</v>
          </cell>
        </row>
        <row r="229">
          <cell r="B229" t="str">
            <v>02-1022-181</v>
          </cell>
          <cell r="C229" t="str">
            <v>Ngamarudin</v>
          </cell>
          <cell r="D229" t="str">
            <v>Kontrak</v>
          </cell>
          <cell r="E229" t="str">
            <v>Aktif</v>
          </cell>
          <cell r="G229">
            <v>32</v>
          </cell>
          <cell r="H229" t="str">
            <v>Operation</v>
          </cell>
          <cell r="I229" t="str">
            <v>Cleaning &amp; Security</v>
          </cell>
          <cell r="J229" t="str">
            <v>Security</v>
          </cell>
          <cell r="K229" t="str">
            <v>Crew</v>
          </cell>
          <cell r="L229" t="str">
            <v>3200701002</v>
          </cell>
          <cell r="M229">
            <v>21</v>
          </cell>
          <cell r="N229">
            <v>25</v>
          </cell>
          <cell r="O229">
            <v>2750136</v>
          </cell>
          <cell r="P229">
            <v>0</v>
          </cell>
          <cell r="Q229">
            <v>0</v>
          </cell>
          <cell r="R229">
            <v>2750136</v>
          </cell>
          <cell r="S229">
            <v>10000</v>
          </cell>
          <cell r="T229">
            <v>210000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110005</v>
          </cell>
          <cell r="Z229">
            <v>124856</v>
          </cell>
          <cell r="AA229">
            <v>55003</v>
          </cell>
          <cell r="AC229">
            <v>2960136</v>
          </cell>
          <cell r="AD229">
            <v>27501</v>
          </cell>
          <cell r="AE229">
            <v>55003</v>
          </cell>
          <cell r="AF229">
            <v>27501</v>
          </cell>
          <cell r="AG229">
            <v>0</v>
          </cell>
          <cell r="AH229">
            <v>0</v>
          </cell>
          <cell r="AI229">
            <v>0</v>
          </cell>
        </row>
        <row r="230">
          <cell r="B230" t="str">
            <v>02-1122-182</v>
          </cell>
          <cell r="C230" t="str">
            <v>Shinta Regina</v>
          </cell>
          <cell r="D230" t="str">
            <v>Kontrak</v>
          </cell>
          <cell r="E230" t="str">
            <v>Aktif</v>
          </cell>
          <cell r="G230">
            <v>28</v>
          </cell>
          <cell r="H230" t="str">
            <v>Inpark Revenue</v>
          </cell>
          <cell r="I230" t="str">
            <v>Inpark Revenue Operational</v>
          </cell>
          <cell r="J230" t="str">
            <v>Inpark Revenue Operational Crew</v>
          </cell>
          <cell r="K230" t="str">
            <v>Crew</v>
          </cell>
          <cell r="L230" t="str">
            <v>0132024047</v>
          </cell>
          <cell r="M230">
            <v>21</v>
          </cell>
          <cell r="N230">
            <v>25</v>
          </cell>
          <cell r="O230">
            <v>2750136</v>
          </cell>
          <cell r="P230">
            <v>0</v>
          </cell>
          <cell r="Q230">
            <v>0</v>
          </cell>
          <cell r="R230">
            <v>2750136</v>
          </cell>
          <cell r="S230">
            <v>10000</v>
          </cell>
          <cell r="T230">
            <v>210000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110005</v>
          </cell>
          <cell r="Z230">
            <v>124856</v>
          </cell>
          <cell r="AA230">
            <v>55003</v>
          </cell>
          <cell r="AC230">
            <v>2960136</v>
          </cell>
          <cell r="AD230">
            <v>27501</v>
          </cell>
          <cell r="AE230">
            <v>55003</v>
          </cell>
          <cell r="AF230">
            <v>27501</v>
          </cell>
          <cell r="AG230">
            <v>0</v>
          </cell>
          <cell r="AH230">
            <v>0</v>
          </cell>
          <cell r="AI230">
            <v>0</v>
          </cell>
        </row>
        <row r="231">
          <cell r="B231" t="str">
            <v>02-1122-186</v>
          </cell>
          <cell r="C231" t="str">
            <v>Arif Iko Zulkarim</v>
          </cell>
          <cell r="D231" t="str">
            <v>Kontrak</v>
          </cell>
          <cell r="E231" t="str">
            <v>Aktif</v>
          </cell>
          <cell r="G231">
            <v>28</v>
          </cell>
          <cell r="H231" t="str">
            <v>Maintenance</v>
          </cell>
          <cell r="I231" t="str">
            <v>Maintenance</v>
          </cell>
          <cell r="J231" t="str">
            <v>ME Crew</v>
          </cell>
          <cell r="K231" t="str">
            <v>Crew</v>
          </cell>
          <cell r="L231" t="str">
            <v>3200910451</v>
          </cell>
          <cell r="M231">
            <v>20</v>
          </cell>
          <cell r="N231">
            <v>25</v>
          </cell>
          <cell r="O231">
            <v>2750136</v>
          </cell>
          <cell r="P231">
            <v>0</v>
          </cell>
          <cell r="Q231">
            <v>0</v>
          </cell>
          <cell r="R231">
            <v>2750136</v>
          </cell>
          <cell r="S231">
            <v>10000</v>
          </cell>
          <cell r="T231">
            <v>200000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110005</v>
          </cell>
          <cell r="Z231">
            <v>124856</v>
          </cell>
          <cell r="AA231">
            <v>55003</v>
          </cell>
          <cell r="AC231">
            <v>2950136</v>
          </cell>
          <cell r="AD231">
            <v>27501</v>
          </cell>
          <cell r="AE231">
            <v>55003</v>
          </cell>
          <cell r="AF231">
            <v>27501</v>
          </cell>
          <cell r="AG231">
            <v>0</v>
          </cell>
          <cell r="AH231">
            <v>0</v>
          </cell>
          <cell r="AI231">
            <v>0</v>
          </cell>
        </row>
        <row r="232">
          <cell r="B232" t="str">
            <v>02-1122-187</v>
          </cell>
          <cell r="C232" t="str">
            <v>Aditiyo Cahyadi Setiawan</v>
          </cell>
          <cell r="D232" t="str">
            <v>Kontrak</v>
          </cell>
          <cell r="E232" t="str">
            <v>Aktif</v>
          </cell>
          <cell r="G232">
            <v>28</v>
          </cell>
          <cell r="H232" t="str">
            <v>Maintenance</v>
          </cell>
          <cell r="I232" t="str">
            <v>Maintenance</v>
          </cell>
          <cell r="J232" t="str">
            <v>ME Crew</v>
          </cell>
          <cell r="K232" t="str">
            <v>Crew</v>
          </cell>
          <cell r="L232" t="str">
            <v>5845008601</v>
          </cell>
          <cell r="M232">
            <v>22</v>
          </cell>
          <cell r="N232">
            <v>25</v>
          </cell>
          <cell r="O232">
            <v>2750136</v>
          </cell>
          <cell r="P232">
            <v>0</v>
          </cell>
          <cell r="Q232">
            <v>0</v>
          </cell>
          <cell r="R232">
            <v>2750136</v>
          </cell>
          <cell r="S232">
            <v>10000</v>
          </cell>
          <cell r="T232">
            <v>220000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110005</v>
          </cell>
          <cell r="Z232">
            <v>124856</v>
          </cell>
          <cell r="AA232">
            <v>55003</v>
          </cell>
          <cell r="AC232">
            <v>2970136</v>
          </cell>
          <cell r="AD232">
            <v>27501</v>
          </cell>
          <cell r="AE232">
            <v>55003</v>
          </cell>
          <cell r="AF232">
            <v>27501</v>
          </cell>
          <cell r="AG232">
            <v>0</v>
          </cell>
          <cell r="AH232">
            <v>0</v>
          </cell>
          <cell r="AI232">
            <v>0</v>
          </cell>
        </row>
        <row r="233">
          <cell r="B233" t="str">
            <v>02-1122-191</v>
          </cell>
          <cell r="C233" t="str">
            <v>Witri Mulyani</v>
          </cell>
          <cell r="D233" t="str">
            <v>Kontrak</v>
          </cell>
          <cell r="E233" t="str">
            <v>Aktif</v>
          </cell>
          <cell r="G233">
            <v>28</v>
          </cell>
          <cell r="H233" t="str">
            <v>Operation</v>
          </cell>
          <cell r="I233" t="str">
            <v>Operation</v>
          </cell>
          <cell r="J233" t="str">
            <v>Operation Crew</v>
          </cell>
          <cell r="K233" t="str">
            <v>Crew</v>
          </cell>
          <cell r="L233" t="str">
            <v>0131963393</v>
          </cell>
          <cell r="M233">
            <v>21</v>
          </cell>
          <cell r="N233">
            <v>25</v>
          </cell>
          <cell r="O233">
            <v>2750136</v>
          </cell>
          <cell r="P233">
            <v>0</v>
          </cell>
          <cell r="Q233">
            <v>0</v>
          </cell>
          <cell r="R233">
            <v>2750136</v>
          </cell>
          <cell r="S233">
            <v>10000</v>
          </cell>
          <cell r="T233">
            <v>210000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110005</v>
          </cell>
          <cell r="Z233">
            <v>124856</v>
          </cell>
          <cell r="AA233">
            <v>55003</v>
          </cell>
          <cell r="AC233">
            <v>2960136</v>
          </cell>
          <cell r="AD233">
            <v>27501</v>
          </cell>
          <cell r="AE233">
            <v>55003</v>
          </cell>
          <cell r="AF233">
            <v>27501</v>
          </cell>
          <cell r="AG233">
            <v>0</v>
          </cell>
          <cell r="AH233">
            <v>0</v>
          </cell>
          <cell r="AI233">
            <v>0</v>
          </cell>
        </row>
        <row r="234">
          <cell r="B234" t="str">
            <v>02-1222-192</v>
          </cell>
          <cell r="C234" t="str">
            <v>Jaka Setiawan</v>
          </cell>
          <cell r="D234" t="str">
            <v>Kontrak</v>
          </cell>
          <cell r="E234" t="str">
            <v>Aktif</v>
          </cell>
          <cell r="G234">
            <v>27</v>
          </cell>
          <cell r="H234" t="str">
            <v>Inpark Revenue</v>
          </cell>
          <cell r="I234" t="str">
            <v>Inpark Revenue Operational</v>
          </cell>
          <cell r="J234" t="str">
            <v>Inpark Revenue Operational Crew</v>
          </cell>
          <cell r="K234" t="str">
            <v>Crew</v>
          </cell>
          <cell r="L234" t="str">
            <v>2220903616</v>
          </cell>
          <cell r="M234">
            <v>21</v>
          </cell>
          <cell r="N234">
            <v>25</v>
          </cell>
          <cell r="O234">
            <v>2750136</v>
          </cell>
          <cell r="P234">
            <v>0</v>
          </cell>
          <cell r="Q234">
            <v>0</v>
          </cell>
          <cell r="R234">
            <v>2750136</v>
          </cell>
          <cell r="S234">
            <v>10000</v>
          </cell>
          <cell r="T234">
            <v>210000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110005</v>
          </cell>
          <cell r="Z234">
            <v>124856</v>
          </cell>
          <cell r="AA234">
            <v>55003</v>
          </cell>
          <cell r="AC234">
            <v>2960136</v>
          </cell>
          <cell r="AD234">
            <v>27501</v>
          </cell>
          <cell r="AE234">
            <v>55003</v>
          </cell>
          <cell r="AF234">
            <v>27501</v>
          </cell>
          <cell r="AG234">
            <v>0</v>
          </cell>
          <cell r="AH234">
            <v>0</v>
          </cell>
          <cell r="AI234">
            <v>0</v>
          </cell>
        </row>
        <row r="235">
          <cell r="B235" t="str">
            <v>02-1222-193</v>
          </cell>
          <cell r="C235" t="str">
            <v>Arif Muhamad Fajar</v>
          </cell>
          <cell r="D235" t="str">
            <v>Kontrak</v>
          </cell>
          <cell r="E235" t="str">
            <v>Aktif</v>
          </cell>
          <cell r="G235">
            <v>27</v>
          </cell>
          <cell r="H235" t="str">
            <v>Inpark Revenue</v>
          </cell>
          <cell r="I235" t="str">
            <v>FB Product</v>
          </cell>
          <cell r="J235" t="str">
            <v>Distribusi Crew</v>
          </cell>
          <cell r="K235" t="str">
            <v>Crew</v>
          </cell>
          <cell r="L235" t="str">
            <v>3200980050</v>
          </cell>
          <cell r="M235">
            <v>21</v>
          </cell>
          <cell r="N235">
            <v>25</v>
          </cell>
          <cell r="O235">
            <v>2750136</v>
          </cell>
          <cell r="P235">
            <v>0</v>
          </cell>
          <cell r="Q235">
            <v>0</v>
          </cell>
          <cell r="R235">
            <v>2750136</v>
          </cell>
          <cell r="S235">
            <v>10000</v>
          </cell>
          <cell r="T235">
            <v>210000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110005</v>
          </cell>
          <cell r="Z235">
            <v>124856</v>
          </cell>
          <cell r="AA235">
            <v>55003</v>
          </cell>
          <cell r="AC235">
            <v>2960136</v>
          </cell>
          <cell r="AD235">
            <v>27501</v>
          </cell>
          <cell r="AE235">
            <v>55003</v>
          </cell>
          <cell r="AF235">
            <v>27501</v>
          </cell>
          <cell r="AG235">
            <v>0</v>
          </cell>
          <cell r="AH235">
            <v>0</v>
          </cell>
          <cell r="AI235">
            <v>55003</v>
          </cell>
        </row>
        <row r="236">
          <cell r="B236" t="str">
            <v>02-0123-004</v>
          </cell>
          <cell r="C236" t="str">
            <v>Sudarto</v>
          </cell>
          <cell r="D236" t="str">
            <v>Kontrak</v>
          </cell>
          <cell r="E236" t="str">
            <v>Aktif</v>
          </cell>
          <cell r="G236">
            <v>26</v>
          </cell>
          <cell r="H236" t="str">
            <v>Operation</v>
          </cell>
          <cell r="I236" t="str">
            <v>Operation</v>
          </cell>
          <cell r="J236" t="str">
            <v>Angon Ingon Crew</v>
          </cell>
          <cell r="K236" t="str">
            <v>Crew</v>
          </cell>
          <cell r="L236" t="str">
            <v>8175545898</v>
          </cell>
          <cell r="M236">
            <v>22</v>
          </cell>
          <cell r="N236">
            <v>25</v>
          </cell>
          <cell r="O236">
            <v>3412609</v>
          </cell>
          <cell r="P236">
            <v>0</v>
          </cell>
          <cell r="Q236">
            <v>0</v>
          </cell>
          <cell r="R236">
            <v>3412609</v>
          </cell>
          <cell r="S236">
            <v>10000</v>
          </cell>
          <cell r="T236">
            <v>220000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136504</v>
          </cell>
          <cell r="Z236">
            <v>154932</v>
          </cell>
          <cell r="AA236">
            <v>68252</v>
          </cell>
          <cell r="AC236">
            <v>3632609</v>
          </cell>
          <cell r="AD236">
            <v>34126</v>
          </cell>
          <cell r="AE236">
            <v>68252</v>
          </cell>
          <cell r="AF236">
            <v>34126</v>
          </cell>
          <cell r="AG236">
            <v>0</v>
          </cell>
          <cell r="AH236">
            <v>0</v>
          </cell>
          <cell r="AI236">
            <v>0</v>
          </cell>
        </row>
        <row r="237">
          <cell r="B237" t="str">
            <v>02-0123-005</v>
          </cell>
          <cell r="C237" t="str">
            <v>Ratmin</v>
          </cell>
          <cell r="D237" t="str">
            <v>Kontrak</v>
          </cell>
          <cell r="E237" t="str">
            <v>Aktif</v>
          </cell>
          <cell r="G237">
            <v>26</v>
          </cell>
          <cell r="H237" t="str">
            <v>Operation</v>
          </cell>
          <cell r="I237" t="str">
            <v>Operation</v>
          </cell>
          <cell r="J237" t="str">
            <v>Angon Ingon Crew</v>
          </cell>
          <cell r="K237" t="str">
            <v>Crew</v>
          </cell>
          <cell r="L237" t="str">
            <v>0771078973</v>
          </cell>
          <cell r="M237">
            <v>22</v>
          </cell>
          <cell r="N237">
            <v>25</v>
          </cell>
          <cell r="O237">
            <v>3276000</v>
          </cell>
          <cell r="P237">
            <v>0</v>
          </cell>
          <cell r="Q237">
            <v>0</v>
          </cell>
          <cell r="R237">
            <v>3276000</v>
          </cell>
          <cell r="S237">
            <v>10000</v>
          </cell>
          <cell r="T237">
            <v>220000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131040</v>
          </cell>
          <cell r="Z237">
            <v>148730</v>
          </cell>
          <cell r="AA237">
            <v>65520</v>
          </cell>
          <cell r="AC237">
            <v>3496000</v>
          </cell>
          <cell r="AD237">
            <v>32760</v>
          </cell>
          <cell r="AE237">
            <v>65520</v>
          </cell>
          <cell r="AF237">
            <v>32760</v>
          </cell>
          <cell r="AG237">
            <v>0</v>
          </cell>
          <cell r="AH237">
            <v>0</v>
          </cell>
          <cell r="AI237">
            <v>0</v>
          </cell>
        </row>
        <row r="238">
          <cell r="B238" t="str">
            <v>02-0123-006</v>
          </cell>
          <cell r="C238" t="str">
            <v>Dwi Ratna Asieh</v>
          </cell>
          <cell r="D238" t="str">
            <v>Kontrak</v>
          </cell>
          <cell r="E238" t="str">
            <v>Aktif</v>
          </cell>
          <cell r="G238">
            <v>26</v>
          </cell>
          <cell r="H238" t="str">
            <v>Inpark Revenue</v>
          </cell>
          <cell r="I238" t="str">
            <v>Inpark Revenue Operational</v>
          </cell>
          <cell r="J238" t="str">
            <v>Inpark Revenue Operational Crew</v>
          </cell>
          <cell r="K238" t="str">
            <v>Crew</v>
          </cell>
          <cell r="L238" t="str">
            <v>3200987836</v>
          </cell>
          <cell r="M238">
            <v>19</v>
          </cell>
          <cell r="N238">
            <v>25</v>
          </cell>
          <cell r="O238">
            <v>2750136</v>
          </cell>
          <cell r="P238">
            <v>0</v>
          </cell>
          <cell r="Q238">
            <v>0</v>
          </cell>
          <cell r="R238">
            <v>2750136</v>
          </cell>
          <cell r="S238">
            <v>10000</v>
          </cell>
          <cell r="T238">
            <v>190000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110005</v>
          </cell>
          <cell r="Z238">
            <v>124856</v>
          </cell>
          <cell r="AA238">
            <v>55003</v>
          </cell>
          <cell r="AC238">
            <v>2940136</v>
          </cell>
          <cell r="AD238">
            <v>27501</v>
          </cell>
          <cell r="AE238">
            <v>55003</v>
          </cell>
          <cell r="AF238">
            <v>27501</v>
          </cell>
          <cell r="AG238">
            <v>0</v>
          </cell>
          <cell r="AH238">
            <v>0</v>
          </cell>
          <cell r="AI238">
            <v>0</v>
          </cell>
        </row>
        <row r="239">
          <cell r="B239" t="str">
            <v>02-0123-008</v>
          </cell>
          <cell r="C239" t="str">
            <v>Winda Ellenawati</v>
          </cell>
          <cell r="D239" t="str">
            <v>Kontrak</v>
          </cell>
          <cell r="E239" t="str">
            <v>Aktif</v>
          </cell>
          <cell r="G239">
            <v>26</v>
          </cell>
          <cell r="H239" t="str">
            <v>Operation</v>
          </cell>
          <cell r="I239" t="str">
            <v>Operation</v>
          </cell>
          <cell r="J239" t="str">
            <v>Entertainment crew</v>
          </cell>
          <cell r="K239" t="str">
            <v>Crew</v>
          </cell>
          <cell r="L239" t="str">
            <v>0131668685</v>
          </cell>
          <cell r="M239">
            <v>18</v>
          </cell>
          <cell r="N239">
            <v>21</v>
          </cell>
          <cell r="O239">
            <v>2750136</v>
          </cell>
          <cell r="P239">
            <v>0</v>
          </cell>
          <cell r="Q239">
            <v>0</v>
          </cell>
          <cell r="R239">
            <v>2750136</v>
          </cell>
          <cell r="S239">
            <v>10000</v>
          </cell>
          <cell r="T239">
            <v>180000</v>
          </cell>
          <cell r="U239">
            <v>0</v>
          </cell>
          <cell r="V239">
            <v>23845</v>
          </cell>
          <cell r="W239">
            <v>0</v>
          </cell>
          <cell r="X239">
            <v>0</v>
          </cell>
          <cell r="Y239">
            <v>110005</v>
          </cell>
          <cell r="Z239">
            <v>124856</v>
          </cell>
          <cell r="AA239">
            <v>55003</v>
          </cell>
          <cell r="AC239">
            <v>2953981</v>
          </cell>
          <cell r="AD239">
            <v>27501</v>
          </cell>
          <cell r="AE239">
            <v>55003</v>
          </cell>
          <cell r="AF239">
            <v>27501</v>
          </cell>
          <cell r="AG239">
            <v>0</v>
          </cell>
          <cell r="AH239">
            <v>0</v>
          </cell>
          <cell r="AI239">
            <v>0</v>
          </cell>
        </row>
        <row r="240">
          <cell r="B240" t="str">
            <v>02-0123-009</v>
          </cell>
          <cell r="C240" t="str">
            <v>Dhyas Meilani</v>
          </cell>
          <cell r="D240" t="str">
            <v>Kontrak</v>
          </cell>
          <cell r="E240" t="str">
            <v>Aktif</v>
          </cell>
          <cell r="G240">
            <v>26</v>
          </cell>
          <cell r="H240" t="str">
            <v>Operation</v>
          </cell>
          <cell r="I240" t="str">
            <v>Operation</v>
          </cell>
          <cell r="J240" t="str">
            <v>Veterinarian Staff</v>
          </cell>
          <cell r="K240" t="str">
            <v>Crew</v>
          </cell>
          <cell r="L240" t="str">
            <v>0131978552</v>
          </cell>
          <cell r="M240">
            <v>19</v>
          </cell>
          <cell r="N240">
            <v>21</v>
          </cell>
          <cell r="O240">
            <v>3675000</v>
          </cell>
          <cell r="P240">
            <v>0</v>
          </cell>
          <cell r="Q240">
            <v>0</v>
          </cell>
          <cell r="R240">
            <v>3675000</v>
          </cell>
          <cell r="S240">
            <v>10000</v>
          </cell>
          <cell r="T240">
            <v>190000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147000</v>
          </cell>
          <cell r="Z240">
            <v>166845</v>
          </cell>
          <cell r="AA240">
            <v>73500</v>
          </cell>
          <cell r="AC240">
            <v>3865000</v>
          </cell>
          <cell r="AD240">
            <v>36750</v>
          </cell>
          <cell r="AE240">
            <v>73500</v>
          </cell>
          <cell r="AF240">
            <v>36750</v>
          </cell>
          <cell r="AG240">
            <v>0</v>
          </cell>
          <cell r="AH240">
            <v>0</v>
          </cell>
          <cell r="AI240">
            <v>0</v>
          </cell>
        </row>
        <row r="241">
          <cell r="B241" t="str">
            <v>02-0123-010</v>
          </cell>
          <cell r="C241" t="str">
            <v>Muhammad Abdul Hadi</v>
          </cell>
          <cell r="D241" t="str">
            <v>Kontrak</v>
          </cell>
          <cell r="E241" t="str">
            <v>Aktif</v>
          </cell>
          <cell r="G241">
            <v>26</v>
          </cell>
          <cell r="H241" t="str">
            <v>Inpark Revenue</v>
          </cell>
          <cell r="I241" t="str">
            <v>Inpark Revenue Operational</v>
          </cell>
          <cell r="J241" t="str">
            <v>Inpark Revenue Operational Crew</v>
          </cell>
          <cell r="K241" t="str">
            <v>Crew</v>
          </cell>
          <cell r="L241" t="str">
            <v>0131979222</v>
          </cell>
          <cell r="M241">
            <v>22</v>
          </cell>
          <cell r="N241">
            <v>25</v>
          </cell>
          <cell r="O241">
            <v>2750136</v>
          </cell>
          <cell r="P241">
            <v>0</v>
          </cell>
          <cell r="Q241">
            <v>0</v>
          </cell>
          <cell r="R241">
            <v>2750136</v>
          </cell>
          <cell r="S241">
            <v>10000</v>
          </cell>
          <cell r="T241">
            <v>220000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110005</v>
          </cell>
          <cell r="Z241">
            <v>124856</v>
          </cell>
          <cell r="AA241">
            <v>55003</v>
          </cell>
          <cell r="AC241">
            <v>2970136</v>
          </cell>
          <cell r="AD241">
            <v>27501</v>
          </cell>
          <cell r="AE241">
            <v>55003</v>
          </cell>
          <cell r="AF241">
            <v>27501</v>
          </cell>
          <cell r="AG241">
            <v>0</v>
          </cell>
          <cell r="AH241">
            <v>0</v>
          </cell>
          <cell r="AI241">
            <v>0</v>
          </cell>
        </row>
        <row r="242">
          <cell r="B242" t="str">
            <v>02-0123-011</v>
          </cell>
          <cell r="C242" t="str">
            <v>Vera Yulianita</v>
          </cell>
          <cell r="D242" t="str">
            <v>Kontrak</v>
          </cell>
          <cell r="E242" t="str">
            <v>Aktif</v>
          </cell>
          <cell r="G242">
            <v>26</v>
          </cell>
          <cell r="H242" t="str">
            <v>Inpark Revenue</v>
          </cell>
          <cell r="I242" t="str">
            <v>Inpark Revenue Operational</v>
          </cell>
          <cell r="J242" t="str">
            <v>Inpark Revenue Operational Crew</v>
          </cell>
          <cell r="K242" t="str">
            <v>Crew</v>
          </cell>
          <cell r="L242" t="str">
            <v>3200992171</v>
          </cell>
          <cell r="M242">
            <v>20</v>
          </cell>
          <cell r="N242">
            <v>25</v>
          </cell>
          <cell r="O242">
            <v>2750136</v>
          </cell>
          <cell r="P242">
            <v>0</v>
          </cell>
          <cell r="Q242">
            <v>0</v>
          </cell>
          <cell r="R242">
            <v>2750136</v>
          </cell>
          <cell r="S242">
            <v>10000</v>
          </cell>
          <cell r="T242">
            <v>200000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110005</v>
          </cell>
          <cell r="Z242">
            <v>124856</v>
          </cell>
          <cell r="AA242">
            <v>55003</v>
          </cell>
          <cell r="AC242">
            <v>2950136</v>
          </cell>
          <cell r="AD242">
            <v>27501</v>
          </cell>
          <cell r="AE242">
            <v>55003</v>
          </cell>
          <cell r="AF242">
            <v>27501</v>
          </cell>
          <cell r="AG242">
            <v>0</v>
          </cell>
          <cell r="AH242">
            <v>0</v>
          </cell>
          <cell r="AI242">
            <v>0</v>
          </cell>
        </row>
        <row r="243">
          <cell r="B243" t="str">
            <v>02-0123-012</v>
          </cell>
          <cell r="C243" t="str">
            <v>Oktani Afatikasari</v>
          </cell>
          <cell r="D243" t="str">
            <v>Kontrak</v>
          </cell>
          <cell r="E243" t="str">
            <v>Aktif</v>
          </cell>
          <cell r="G243">
            <v>26</v>
          </cell>
          <cell r="H243" t="str">
            <v>Inpark Revenue</v>
          </cell>
          <cell r="I243" t="str">
            <v>Inpark Revenue Operational</v>
          </cell>
          <cell r="J243" t="str">
            <v>Inpark Revenue Operational Crew</v>
          </cell>
          <cell r="K243" t="str">
            <v>Crew</v>
          </cell>
          <cell r="L243" t="str">
            <v>3200996771</v>
          </cell>
          <cell r="M243">
            <v>21</v>
          </cell>
          <cell r="N243">
            <v>25</v>
          </cell>
          <cell r="O243">
            <v>2750136</v>
          </cell>
          <cell r="P243">
            <v>0</v>
          </cell>
          <cell r="Q243">
            <v>0</v>
          </cell>
          <cell r="R243">
            <v>2750136</v>
          </cell>
          <cell r="S243">
            <v>10000</v>
          </cell>
          <cell r="T243">
            <v>210000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110005</v>
          </cell>
          <cell r="Z243">
            <v>124856</v>
          </cell>
          <cell r="AA243">
            <v>55003</v>
          </cell>
          <cell r="AC243">
            <v>2960136</v>
          </cell>
          <cell r="AD243">
            <v>27501</v>
          </cell>
          <cell r="AE243">
            <v>55003</v>
          </cell>
          <cell r="AF243">
            <v>27501</v>
          </cell>
          <cell r="AG243">
            <v>0</v>
          </cell>
          <cell r="AH243">
            <v>0</v>
          </cell>
          <cell r="AI243">
            <v>0</v>
          </cell>
        </row>
        <row r="244">
          <cell r="B244" t="str">
            <v>02-0123-014</v>
          </cell>
          <cell r="C244" t="str">
            <v>Sigit Aditya</v>
          </cell>
          <cell r="D244" t="str">
            <v>Kontrak</v>
          </cell>
          <cell r="E244" t="str">
            <v>Aktif</v>
          </cell>
          <cell r="G244">
            <v>26</v>
          </cell>
          <cell r="H244" t="str">
            <v>Inpark Revenue</v>
          </cell>
          <cell r="I244" t="str">
            <v>Inpark Revenue Operational</v>
          </cell>
          <cell r="J244" t="str">
            <v>Inpark Revenue Operational Crew</v>
          </cell>
          <cell r="K244" t="str">
            <v>Crew</v>
          </cell>
          <cell r="L244" t="str">
            <v>0131981928</v>
          </cell>
          <cell r="M244">
            <v>22</v>
          </cell>
          <cell r="N244">
            <v>25</v>
          </cell>
          <cell r="O244">
            <v>2750136</v>
          </cell>
          <cell r="P244">
            <v>0</v>
          </cell>
          <cell r="Q244">
            <v>0</v>
          </cell>
          <cell r="R244">
            <v>2750136</v>
          </cell>
          <cell r="S244">
            <v>10000</v>
          </cell>
          <cell r="T244">
            <v>220000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110005</v>
          </cell>
          <cell r="Z244">
            <v>124856</v>
          </cell>
          <cell r="AA244">
            <v>55003</v>
          </cell>
          <cell r="AC244">
            <v>2970136</v>
          </cell>
          <cell r="AD244">
            <v>27501</v>
          </cell>
          <cell r="AE244">
            <v>55003</v>
          </cell>
          <cell r="AF244">
            <v>27501</v>
          </cell>
          <cell r="AG244">
            <v>0</v>
          </cell>
          <cell r="AH244">
            <v>0</v>
          </cell>
          <cell r="AI244">
            <v>0</v>
          </cell>
        </row>
        <row r="245">
          <cell r="B245" t="str">
            <v>02-0223-016</v>
          </cell>
          <cell r="C245" t="str">
            <v>Rifaldi Sapta Wirawan</v>
          </cell>
          <cell r="D245" t="str">
            <v>Kontrak</v>
          </cell>
          <cell r="E245" t="str">
            <v>Aktif</v>
          </cell>
          <cell r="G245">
            <v>25</v>
          </cell>
          <cell r="H245" t="str">
            <v>Marketing &amp; Partenership</v>
          </cell>
          <cell r="I245" t="str">
            <v>Marketing Communication</v>
          </cell>
          <cell r="J245" t="str">
            <v>Digital Marketing Officer</v>
          </cell>
          <cell r="K245" t="str">
            <v>Officer</v>
          </cell>
          <cell r="L245" t="str">
            <v>0135743271</v>
          </cell>
          <cell r="M245">
            <v>15</v>
          </cell>
          <cell r="N245">
            <v>21</v>
          </cell>
          <cell r="O245">
            <v>3542000</v>
          </cell>
          <cell r="P245">
            <v>500000</v>
          </cell>
          <cell r="Q245">
            <v>0</v>
          </cell>
          <cell r="R245">
            <v>4042000</v>
          </cell>
          <cell r="S245">
            <v>11900</v>
          </cell>
          <cell r="T245">
            <v>178500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161680</v>
          </cell>
          <cell r="Z245">
            <v>183507</v>
          </cell>
          <cell r="AA245">
            <v>80840</v>
          </cell>
          <cell r="AC245">
            <v>4220500</v>
          </cell>
          <cell r="AD245">
            <v>40420</v>
          </cell>
          <cell r="AE245">
            <v>80840</v>
          </cell>
          <cell r="AF245">
            <v>40420</v>
          </cell>
          <cell r="AG245">
            <v>0</v>
          </cell>
          <cell r="AH245">
            <v>0</v>
          </cell>
          <cell r="AI245">
            <v>0</v>
          </cell>
        </row>
        <row r="246">
          <cell r="B246" t="str">
            <v>02-0223-017</v>
          </cell>
          <cell r="C246" t="str">
            <v>Wisnu Aji</v>
          </cell>
          <cell r="D246" t="str">
            <v>Kontrak</v>
          </cell>
          <cell r="E246" t="str">
            <v>Aktif</v>
          </cell>
          <cell r="G246">
            <v>25</v>
          </cell>
          <cell r="H246" t="str">
            <v>Operation</v>
          </cell>
          <cell r="I246" t="str">
            <v>Cleaning &amp; Security</v>
          </cell>
          <cell r="J246" t="str">
            <v>Security</v>
          </cell>
          <cell r="K246" t="str">
            <v>Crew</v>
          </cell>
          <cell r="L246" t="str">
            <v>1430593320</v>
          </cell>
          <cell r="M246">
            <v>10</v>
          </cell>
          <cell r="N246">
            <v>25</v>
          </cell>
          <cell r="O246">
            <v>2750136</v>
          </cell>
          <cell r="P246">
            <v>0</v>
          </cell>
          <cell r="Q246">
            <v>0</v>
          </cell>
          <cell r="R246">
            <v>2750136</v>
          </cell>
          <cell r="S246">
            <v>10000</v>
          </cell>
          <cell r="T246">
            <v>100000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110005</v>
          </cell>
          <cell r="Z246">
            <v>124856</v>
          </cell>
          <cell r="AA246">
            <v>55003</v>
          </cell>
          <cell r="AC246">
            <v>2850136</v>
          </cell>
          <cell r="AD246">
            <v>27501</v>
          </cell>
          <cell r="AE246">
            <v>55003</v>
          </cell>
          <cell r="AF246">
            <v>27501</v>
          </cell>
          <cell r="AG246">
            <v>0</v>
          </cell>
          <cell r="AH246">
            <v>0</v>
          </cell>
          <cell r="AI246">
            <v>0</v>
          </cell>
        </row>
        <row r="247">
          <cell r="B247" t="str">
            <v>02-0323-019</v>
          </cell>
          <cell r="C247" t="str">
            <v>Divvia Maretha Putri</v>
          </cell>
          <cell r="D247" t="str">
            <v>Kontrak</v>
          </cell>
          <cell r="E247" t="str">
            <v>Aktif</v>
          </cell>
          <cell r="G247">
            <v>24</v>
          </cell>
          <cell r="H247" t="str">
            <v>Inpark Revenue</v>
          </cell>
          <cell r="I247" t="str">
            <v>Inpark Revenue Operational</v>
          </cell>
          <cell r="J247" t="str">
            <v>Inpark Revenue Operational Crew</v>
          </cell>
          <cell r="K247" t="str">
            <v>Crew</v>
          </cell>
          <cell r="L247" t="str">
            <v>0131870654</v>
          </cell>
          <cell r="M247">
            <v>21</v>
          </cell>
          <cell r="N247">
            <v>25</v>
          </cell>
          <cell r="O247">
            <v>2750136</v>
          </cell>
          <cell r="P247">
            <v>0</v>
          </cell>
          <cell r="Q247">
            <v>0</v>
          </cell>
          <cell r="R247">
            <v>2750136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110005</v>
          </cell>
          <cell r="Z247">
            <v>124856</v>
          </cell>
          <cell r="AA247">
            <v>55003</v>
          </cell>
          <cell r="AC247">
            <v>2750136</v>
          </cell>
          <cell r="AD247">
            <v>27501</v>
          </cell>
          <cell r="AE247">
            <v>55003</v>
          </cell>
          <cell r="AF247">
            <v>27501</v>
          </cell>
          <cell r="AG247">
            <v>0</v>
          </cell>
          <cell r="AH247">
            <v>0</v>
          </cell>
          <cell r="AI247">
            <v>0</v>
          </cell>
        </row>
        <row r="248">
          <cell r="B248" t="str">
            <v>02-0323-021</v>
          </cell>
          <cell r="C248" t="str">
            <v>Muhamad Edy Nurokhim</v>
          </cell>
          <cell r="D248" t="str">
            <v>Kontrak</v>
          </cell>
          <cell r="E248" t="str">
            <v>Aktif</v>
          </cell>
          <cell r="G248">
            <v>24</v>
          </cell>
          <cell r="H248" t="str">
            <v>Operation</v>
          </cell>
          <cell r="I248" t="str">
            <v>Cleaning &amp; Security</v>
          </cell>
          <cell r="J248" t="str">
            <v>Security</v>
          </cell>
          <cell r="K248" t="str">
            <v>Crew</v>
          </cell>
          <cell r="L248" t="str">
            <v>3201001950</v>
          </cell>
          <cell r="M248">
            <v>22</v>
          </cell>
          <cell r="N248">
            <v>25</v>
          </cell>
          <cell r="O248">
            <v>2750136</v>
          </cell>
          <cell r="P248">
            <v>0</v>
          </cell>
          <cell r="Q248">
            <v>0</v>
          </cell>
          <cell r="R248">
            <v>2750136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110005</v>
          </cell>
          <cell r="Z248">
            <v>124856</v>
          </cell>
          <cell r="AA248">
            <v>55003</v>
          </cell>
          <cell r="AC248">
            <v>2750136</v>
          </cell>
          <cell r="AD248">
            <v>27501</v>
          </cell>
          <cell r="AE248">
            <v>55003</v>
          </cell>
          <cell r="AF248">
            <v>27501</v>
          </cell>
          <cell r="AG248">
            <v>0</v>
          </cell>
          <cell r="AH248">
            <v>0</v>
          </cell>
          <cell r="AI248">
            <v>0</v>
          </cell>
        </row>
        <row r="249">
          <cell r="B249" t="str">
            <v>02-0323-022</v>
          </cell>
          <cell r="C249" t="str">
            <v>Yuda Saputra</v>
          </cell>
          <cell r="D249" t="str">
            <v>Kontrak</v>
          </cell>
          <cell r="E249" t="str">
            <v>Aktif</v>
          </cell>
          <cell r="G249">
            <v>24</v>
          </cell>
          <cell r="H249" t="str">
            <v>Operation</v>
          </cell>
          <cell r="I249" t="str">
            <v>Operation</v>
          </cell>
          <cell r="J249" t="str">
            <v>Angon Ingon Crew</v>
          </cell>
          <cell r="K249" t="str">
            <v>Crew</v>
          </cell>
          <cell r="L249" t="str">
            <v>3201000678</v>
          </cell>
          <cell r="M249">
            <v>22</v>
          </cell>
          <cell r="N249">
            <v>25</v>
          </cell>
          <cell r="O249">
            <v>2750136</v>
          </cell>
          <cell r="P249">
            <v>0</v>
          </cell>
          <cell r="Q249">
            <v>0</v>
          </cell>
          <cell r="R249">
            <v>2750136</v>
          </cell>
          <cell r="S249">
            <v>0</v>
          </cell>
          <cell r="T249">
            <v>0</v>
          </cell>
          <cell r="U249">
            <v>0</v>
          </cell>
          <cell r="V249">
            <v>87432</v>
          </cell>
          <cell r="W249">
            <v>0</v>
          </cell>
          <cell r="X249">
            <v>0</v>
          </cell>
          <cell r="Y249">
            <v>110005</v>
          </cell>
          <cell r="Z249">
            <v>124856</v>
          </cell>
          <cell r="AA249">
            <v>55003</v>
          </cell>
          <cell r="AC249">
            <v>2837568</v>
          </cell>
          <cell r="AD249">
            <v>27501</v>
          </cell>
          <cell r="AE249">
            <v>55003</v>
          </cell>
          <cell r="AF249">
            <v>27501</v>
          </cell>
          <cell r="AG249">
            <v>0</v>
          </cell>
          <cell r="AH249">
            <v>0</v>
          </cell>
          <cell r="AI249">
            <v>0</v>
          </cell>
        </row>
        <row r="250">
          <cell r="B250" t="str">
            <v>02-0323-023</v>
          </cell>
          <cell r="C250" t="str">
            <v>Widarno</v>
          </cell>
          <cell r="D250" t="str">
            <v>Kontrak</v>
          </cell>
          <cell r="E250" t="str">
            <v>Aktif</v>
          </cell>
          <cell r="G250">
            <v>24</v>
          </cell>
          <cell r="H250" t="str">
            <v>Inpark Revenue</v>
          </cell>
          <cell r="I250" t="str">
            <v>FB Product</v>
          </cell>
          <cell r="J250" t="str">
            <v>Cook Team Leader</v>
          </cell>
          <cell r="K250" t="str">
            <v>Crew</v>
          </cell>
          <cell r="L250" t="str">
            <v>0131995368</v>
          </cell>
          <cell r="M250">
            <v>21</v>
          </cell>
          <cell r="N250">
            <v>25</v>
          </cell>
          <cell r="O250">
            <v>2940000</v>
          </cell>
          <cell r="P250">
            <v>0</v>
          </cell>
          <cell r="Q250">
            <v>0</v>
          </cell>
          <cell r="R250">
            <v>2940000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200000</v>
          </cell>
          <cell r="X250">
            <v>0</v>
          </cell>
          <cell r="Y250">
            <v>117600</v>
          </cell>
          <cell r="Z250">
            <v>133476</v>
          </cell>
          <cell r="AA250">
            <v>58800</v>
          </cell>
          <cell r="AC250">
            <v>3140000</v>
          </cell>
          <cell r="AD250">
            <v>29400</v>
          </cell>
          <cell r="AE250">
            <v>58800</v>
          </cell>
          <cell r="AF250">
            <v>29400</v>
          </cell>
          <cell r="AG250">
            <v>0</v>
          </cell>
          <cell r="AH250">
            <v>0</v>
          </cell>
          <cell r="AI250">
            <v>0</v>
          </cell>
        </row>
        <row r="251">
          <cell r="B251" t="str">
            <v>02-0323-024</v>
          </cell>
          <cell r="C251" t="str">
            <v>Joelian Syam Madio</v>
          </cell>
          <cell r="D251" t="str">
            <v>Kontrak</v>
          </cell>
          <cell r="E251" t="str">
            <v>Aktif</v>
          </cell>
          <cell r="G251">
            <v>24</v>
          </cell>
          <cell r="H251" t="str">
            <v>Inpark Revenue</v>
          </cell>
          <cell r="I251" t="str">
            <v>FB Product</v>
          </cell>
          <cell r="J251" t="str">
            <v>Dishwasher</v>
          </cell>
          <cell r="K251" t="str">
            <v>Crew</v>
          </cell>
          <cell r="L251" t="str">
            <v>0131757572</v>
          </cell>
          <cell r="M251">
            <v>22</v>
          </cell>
          <cell r="N251">
            <v>25</v>
          </cell>
          <cell r="O251">
            <v>2750136</v>
          </cell>
          <cell r="P251">
            <v>0</v>
          </cell>
          <cell r="Q251">
            <v>0</v>
          </cell>
          <cell r="R251">
            <v>2750136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110005</v>
          </cell>
          <cell r="Z251">
            <v>124856</v>
          </cell>
          <cell r="AA251">
            <v>55003</v>
          </cell>
          <cell r="AC251">
            <v>2750136</v>
          </cell>
          <cell r="AD251">
            <v>27501</v>
          </cell>
          <cell r="AE251">
            <v>55003</v>
          </cell>
          <cell r="AF251">
            <v>27501</v>
          </cell>
          <cell r="AG251">
            <v>0</v>
          </cell>
          <cell r="AH251">
            <v>0</v>
          </cell>
          <cell r="AI251">
            <v>0</v>
          </cell>
        </row>
        <row r="252">
          <cell r="B252" t="str">
            <v>02-0423-028</v>
          </cell>
          <cell r="C252" t="str">
            <v>Fandi Kurniawan</v>
          </cell>
          <cell r="D252" t="str">
            <v>Kontrak</v>
          </cell>
          <cell r="E252" t="str">
            <v>Aktif</v>
          </cell>
          <cell r="G252">
            <v>23</v>
          </cell>
          <cell r="H252" t="str">
            <v>Sales</v>
          </cell>
          <cell r="I252" t="str">
            <v>Coorporate</v>
          </cell>
          <cell r="J252" t="str">
            <v>Sales cooporate officer</v>
          </cell>
          <cell r="K252" t="str">
            <v>Officer</v>
          </cell>
          <cell r="L252" t="str">
            <v>0131288319</v>
          </cell>
          <cell r="M252">
            <v>19</v>
          </cell>
          <cell r="N252">
            <v>21</v>
          </cell>
          <cell r="O252">
            <v>3105000</v>
          </cell>
          <cell r="P252">
            <v>500000</v>
          </cell>
          <cell r="Q252">
            <v>0</v>
          </cell>
          <cell r="R252">
            <v>3605000</v>
          </cell>
          <cell r="S252">
            <v>0</v>
          </cell>
          <cell r="T252">
            <v>0</v>
          </cell>
          <cell r="U252">
            <v>100000</v>
          </cell>
          <cell r="V252">
            <v>0</v>
          </cell>
          <cell r="W252">
            <v>0</v>
          </cell>
          <cell r="X252">
            <v>0</v>
          </cell>
          <cell r="Y252">
            <v>144200</v>
          </cell>
          <cell r="Z252">
            <v>163667</v>
          </cell>
          <cell r="AA252">
            <v>72100</v>
          </cell>
          <cell r="AC252">
            <v>3705000</v>
          </cell>
          <cell r="AD252">
            <v>36050</v>
          </cell>
          <cell r="AE252">
            <v>72100</v>
          </cell>
          <cell r="AF252">
            <v>36050</v>
          </cell>
          <cell r="AG252">
            <v>0</v>
          </cell>
          <cell r="AH252">
            <v>0</v>
          </cell>
          <cell r="AI252">
            <v>0</v>
          </cell>
        </row>
        <row r="253">
          <cell r="B253" t="str">
            <v>02-0423-029</v>
          </cell>
          <cell r="C253" t="str">
            <v>Agnes Amanda</v>
          </cell>
          <cell r="D253" t="str">
            <v>Kontrak</v>
          </cell>
          <cell r="E253" t="str">
            <v>Aktif</v>
          </cell>
          <cell r="G253">
            <v>23</v>
          </cell>
          <cell r="H253" t="str">
            <v>Marketing &amp; Partenership</v>
          </cell>
          <cell r="I253" t="str">
            <v>Corporate Communication</v>
          </cell>
          <cell r="J253" t="str">
            <v>Partnership Officer</v>
          </cell>
          <cell r="K253" t="str">
            <v>Officer</v>
          </cell>
          <cell r="L253" t="str">
            <v>0790472527</v>
          </cell>
          <cell r="M253">
            <v>16</v>
          </cell>
          <cell r="N253">
            <v>21</v>
          </cell>
          <cell r="O253">
            <v>3300000</v>
          </cell>
          <cell r="P253">
            <v>500000</v>
          </cell>
          <cell r="Q253">
            <v>0</v>
          </cell>
          <cell r="R253">
            <v>3800000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152000</v>
          </cell>
          <cell r="Z253">
            <v>172520</v>
          </cell>
          <cell r="AA253">
            <v>76000</v>
          </cell>
          <cell r="AC253">
            <v>3800000</v>
          </cell>
          <cell r="AD253">
            <v>38000</v>
          </cell>
          <cell r="AE253">
            <v>76000</v>
          </cell>
          <cell r="AF253">
            <v>38000</v>
          </cell>
          <cell r="AG253">
            <v>0</v>
          </cell>
          <cell r="AH253">
            <v>0</v>
          </cell>
          <cell r="AI253">
            <v>0</v>
          </cell>
        </row>
        <row r="254">
          <cell r="B254" t="str">
            <v>01-0922-001</v>
          </cell>
          <cell r="C254" t="str">
            <v>Haryanto</v>
          </cell>
          <cell r="D254" t="str">
            <v>Tetap</v>
          </cell>
          <cell r="E254" t="str">
            <v>Aktif</v>
          </cell>
          <cell r="G254">
            <v>39</v>
          </cell>
          <cell r="H254" t="str">
            <v>Management</v>
          </cell>
          <cell r="I254" t="str">
            <v>Bussines Support</v>
          </cell>
          <cell r="J254" t="str">
            <v>Bussines Support  General Manager</v>
          </cell>
          <cell r="K254" t="str">
            <v>General Manager</v>
          </cell>
          <cell r="L254" t="str">
            <v>6350108287</v>
          </cell>
          <cell r="M254">
            <v>21</v>
          </cell>
          <cell r="N254">
            <v>21</v>
          </cell>
          <cell r="O254">
            <v>29000000</v>
          </cell>
          <cell r="P254">
            <v>4000000</v>
          </cell>
          <cell r="Q254">
            <v>0</v>
          </cell>
          <cell r="R254">
            <v>33000000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C254">
            <v>33000000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</row>
        <row r="255">
          <cell r="B255" t="str">
            <v>02-0423-031</v>
          </cell>
          <cell r="C255" t="str">
            <v>Laurensia Anggraeni Dwi Astuti</v>
          </cell>
          <cell r="D255" t="str">
            <v>Kontrak</v>
          </cell>
          <cell r="E255" t="str">
            <v>Aktif</v>
          </cell>
          <cell r="G255">
            <v>22</v>
          </cell>
          <cell r="H255" t="str">
            <v>Finance &amp; Accounting</v>
          </cell>
          <cell r="I255" t="str">
            <v>Accounting</v>
          </cell>
          <cell r="J255" t="str">
            <v>Accounting Officer</v>
          </cell>
          <cell r="K255" t="str">
            <v>Officer</v>
          </cell>
          <cell r="L255" t="str">
            <v>7850887564</v>
          </cell>
          <cell r="M255">
            <v>18</v>
          </cell>
          <cell r="N255">
            <v>21</v>
          </cell>
          <cell r="O255">
            <v>2970000</v>
          </cell>
          <cell r="P255">
            <v>500000</v>
          </cell>
          <cell r="Q255">
            <v>0</v>
          </cell>
          <cell r="R255">
            <v>3470000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138800</v>
          </cell>
          <cell r="Z255">
            <v>157538</v>
          </cell>
          <cell r="AA255">
            <v>69400</v>
          </cell>
          <cell r="AC255">
            <v>3470000</v>
          </cell>
          <cell r="AD255">
            <v>34700</v>
          </cell>
          <cell r="AE255">
            <v>69400</v>
          </cell>
          <cell r="AF255">
            <v>34700</v>
          </cell>
          <cell r="AG255">
            <v>0</v>
          </cell>
          <cell r="AH255">
            <v>0</v>
          </cell>
          <cell r="AI255">
            <v>0</v>
          </cell>
        </row>
        <row r="256">
          <cell r="B256" t="str">
            <v>02-0523-034</v>
          </cell>
          <cell r="C256" t="str">
            <v>Muhammad Dicky Hendriawan</v>
          </cell>
          <cell r="D256" t="str">
            <v>Kontrak</v>
          </cell>
          <cell r="E256" t="str">
            <v>Aktif</v>
          </cell>
          <cell r="G256">
            <v>22</v>
          </cell>
          <cell r="H256" t="str">
            <v>Operation</v>
          </cell>
          <cell r="I256" t="str">
            <v>Cleaning &amp; Security</v>
          </cell>
          <cell r="J256" t="str">
            <v>Security</v>
          </cell>
          <cell r="K256" t="str">
            <v>Crew</v>
          </cell>
          <cell r="L256" t="str">
            <v>0132029600</v>
          </cell>
          <cell r="M256">
            <v>22</v>
          </cell>
          <cell r="N256">
            <v>25</v>
          </cell>
          <cell r="O256">
            <v>2750136</v>
          </cell>
          <cell r="P256">
            <v>0</v>
          </cell>
          <cell r="Q256">
            <v>0</v>
          </cell>
          <cell r="R256">
            <v>2750136</v>
          </cell>
          <cell r="S256">
            <v>0</v>
          </cell>
          <cell r="T256">
            <v>0</v>
          </cell>
          <cell r="U256">
            <v>0</v>
          </cell>
          <cell r="V256">
            <v>55639</v>
          </cell>
          <cell r="W256">
            <v>0</v>
          </cell>
          <cell r="X256">
            <v>0</v>
          </cell>
          <cell r="Y256">
            <v>110005</v>
          </cell>
          <cell r="Z256">
            <v>124856</v>
          </cell>
          <cell r="AA256">
            <v>55003</v>
          </cell>
          <cell r="AC256">
            <v>2805775</v>
          </cell>
          <cell r="AD256">
            <v>27501</v>
          </cell>
          <cell r="AE256">
            <v>55003</v>
          </cell>
          <cell r="AF256">
            <v>27501</v>
          </cell>
          <cell r="AG256">
            <v>0</v>
          </cell>
          <cell r="AH256">
            <v>0</v>
          </cell>
          <cell r="AI256">
            <v>0</v>
          </cell>
        </row>
        <row r="257">
          <cell r="B257" t="str">
            <v>02-0523-035</v>
          </cell>
          <cell r="C257" t="str">
            <v>Miftakhudin</v>
          </cell>
          <cell r="D257" t="str">
            <v>Kontrak</v>
          </cell>
          <cell r="E257" t="str">
            <v>Aktif</v>
          </cell>
          <cell r="G257">
            <v>22</v>
          </cell>
          <cell r="H257" t="str">
            <v>Operation</v>
          </cell>
          <cell r="I257" t="str">
            <v>Cleaning &amp; Security</v>
          </cell>
          <cell r="J257" t="str">
            <v>Security</v>
          </cell>
          <cell r="K257" t="str">
            <v>Crew</v>
          </cell>
          <cell r="L257" t="str">
            <v>2228013272</v>
          </cell>
          <cell r="M257">
            <v>22</v>
          </cell>
          <cell r="N257">
            <v>25</v>
          </cell>
          <cell r="O257">
            <v>2750136</v>
          </cell>
          <cell r="P257">
            <v>0</v>
          </cell>
          <cell r="Q257">
            <v>0</v>
          </cell>
          <cell r="R257">
            <v>2750136</v>
          </cell>
          <cell r="S257">
            <v>0</v>
          </cell>
          <cell r="T257">
            <v>0</v>
          </cell>
          <cell r="U257">
            <v>0</v>
          </cell>
          <cell r="V257">
            <v>55639</v>
          </cell>
          <cell r="W257">
            <v>0</v>
          </cell>
          <cell r="X257">
            <v>0</v>
          </cell>
          <cell r="Y257">
            <v>110005</v>
          </cell>
          <cell r="Z257">
            <v>124856</v>
          </cell>
          <cell r="AA257">
            <v>55003</v>
          </cell>
          <cell r="AC257">
            <v>2805775</v>
          </cell>
          <cell r="AD257">
            <v>27501</v>
          </cell>
          <cell r="AE257">
            <v>55003</v>
          </cell>
          <cell r="AF257">
            <v>27501</v>
          </cell>
          <cell r="AG257">
            <v>0</v>
          </cell>
          <cell r="AH257">
            <v>0</v>
          </cell>
          <cell r="AI257">
            <v>0</v>
          </cell>
        </row>
        <row r="258">
          <cell r="B258" t="str">
            <v>02-0623-037</v>
          </cell>
          <cell r="C258" t="str">
            <v>Dena Novita Sari</v>
          </cell>
          <cell r="D258" t="str">
            <v>Kontrak</v>
          </cell>
          <cell r="E258" t="str">
            <v>Aktif</v>
          </cell>
          <cell r="G258">
            <v>21</v>
          </cell>
          <cell r="H258" t="str">
            <v>Sales</v>
          </cell>
          <cell r="I258" t="str">
            <v>Sales</v>
          </cell>
          <cell r="J258" t="str">
            <v>Sales</v>
          </cell>
          <cell r="K258" t="str">
            <v>Crew</v>
          </cell>
          <cell r="L258" t="str">
            <v xml:space="preserve">2221137673 </v>
          </cell>
          <cell r="M258">
            <v>18</v>
          </cell>
          <cell r="N258">
            <v>21</v>
          </cell>
          <cell r="O258">
            <v>2950753</v>
          </cell>
          <cell r="P258">
            <v>0</v>
          </cell>
          <cell r="Q258">
            <v>0</v>
          </cell>
          <cell r="R258">
            <v>2950753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118030</v>
          </cell>
          <cell r="Z258">
            <v>133964</v>
          </cell>
          <cell r="AA258">
            <v>59015</v>
          </cell>
          <cell r="AC258">
            <v>2950753</v>
          </cell>
          <cell r="AD258">
            <v>29508</v>
          </cell>
          <cell r="AE258">
            <v>59015</v>
          </cell>
          <cell r="AF258">
            <v>29508</v>
          </cell>
          <cell r="AG258">
            <v>0</v>
          </cell>
          <cell r="AH258">
            <v>0</v>
          </cell>
          <cell r="AI258">
            <v>0</v>
          </cell>
        </row>
        <row r="259">
          <cell r="B259" t="str">
            <v>02-0623-039</v>
          </cell>
          <cell r="C259" t="str">
            <v>Farizki Adi Pratama</v>
          </cell>
          <cell r="D259" t="str">
            <v>Kontrak</v>
          </cell>
          <cell r="E259" t="str">
            <v>Aktif</v>
          </cell>
          <cell r="G259">
            <v>21</v>
          </cell>
          <cell r="H259" t="str">
            <v>IT</v>
          </cell>
          <cell r="I259" t="str">
            <v>Infrastructure &amp; Network</v>
          </cell>
          <cell r="J259" t="str">
            <v>Infrastruktur Crew</v>
          </cell>
          <cell r="K259" t="str">
            <v>Crew</v>
          </cell>
          <cell r="L259" t="str">
            <v>8038002281</v>
          </cell>
          <cell r="M259">
            <v>21</v>
          </cell>
          <cell r="N259">
            <v>21</v>
          </cell>
          <cell r="O259">
            <v>2750136</v>
          </cell>
          <cell r="P259">
            <v>0</v>
          </cell>
          <cell r="Q259">
            <v>0</v>
          </cell>
          <cell r="R259">
            <v>2750136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110005</v>
          </cell>
          <cell r="Z259">
            <v>124856</v>
          </cell>
          <cell r="AA259">
            <v>55003</v>
          </cell>
          <cell r="AC259">
            <v>2750136</v>
          </cell>
          <cell r="AD259">
            <v>27501</v>
          </cell>
          <cell r="AE259">
            <v>55003</v>
          </cell>
          <cell r="AF259">
            <v>27501</v>
          </cell>
          <cell r="AG259">
            <v>0</v>
          </cell>
          <cell r="AH259">
            <v>0</v>
          </cell>
          <cell r="AI259">
            <v>0</v>
          </cell>
        </row>
        <row r="260">
          <cell r="B260" t="str">
            <v>02-0623-040</v>
          </cell>
          <cell r="C260" t="str">
            <v>Andre Wijaksono</v>
          </cell>
          <cell r="D260" t="str">
            <v>Kontrak</v>
          </cell>
          <cell r="E260" t="str">
            <v>Aktif</v>
          </cell>
          <cell r="G260">
            <v>21</v>
          </cell>
          <cell r="H260" t="str">
            <v>IT</v>
          </cell>
          <cell r="I260" t="str">
            <v>Infrastructure &amp; Network</v>
          </cell>
          <cell r="J260" t="str">
            <v>Infrastruktur Crew</v>
          </cell>
          <cell r="K260" t="str">
            <v>Crew</v>
          </cell>
          <cell r="L260" t="str">
            <v>3201046350</v>
          </cell>
          <cell r="M260">
            <v>18</v>
          </cell>
          <cell r="N260">
            <v>21</v>
          </cell>
          <cell r="O260">
            <v>2750136</v>
          </cell>
          <cell r="P260">
            <v>0</v>
          </cell>
          <cell r="Q260">
            <v>0</v>
          </cell>
          <cell r="R260">
            <v>2750136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100000</v>
          </cell>
          <cell r="X260">
            <v>0</v>
          </cell>
          <cell r="Y260">
            <v>110005</v>
          </cell>
          <cell r="Z260">
            <v>124856</v>
          </cell>
          <cell r="AA260">
            <v>55003</v>
          </cell>
          <cell r="AC260">
            <v>2850136</v>
          </cell>
          <cell r="AD260">
            <v>27501</v>
          </cell>
          <cell r="AE260">
            <v>55003</v>
          </cell>
          <cell r="AF260">
            <v>27501</v>
          </cell>
          <cell r="AG260">
            <v>0</v>
          </cell>
          <cell r="AH260">
            <v>0</v>
          </cell>
          <cell r="AI260">
            <v>0</v>
          </cell>
        </row>
        <row r="261">
          <cell r="B261" t="str">
            <v>02-0623-041</v>
          </cell>
          <cell r="C261" t="str">
            <v>Kholif Rizqi Alsyihdi</v>
          </cell>
          <cell r="D261" t="str">
            <v>Kontrak</v>
          </cell>
          <cell r="E261" t="str">
            <v>Aktif</v>
          </cell>
          <cell r="G261">
            <v>21</v>
          </cell>
          <cell r="H261" t="str">
            <v>Inpark Revenue</v>
          </cell>
          <cell r="I261" t="str">
            <v>Inpark Revenue Operational</v>
          </cell>
          <cell r="J261" t="str">
            <v>Inpark Revenue Operational Crew</v>
          </cell>
          <cell r="K261" t="str">
            <v>Crew</v>
          </cell>
          <cell r="L261" t="str">
            <v>3201046643</v>
          </cell>
          <cell r="M261">
            <v>21</v>
          </cell>
          <cell r="N261">
            <v>25</v>
          </cell>
          <cell r="O261">
            <v>2750136</v>
          </cell>
          <cell r="P261">
            <v>0</v>
          </cell>
          <cell r="Q261">
            <v>0</v>
          </cell>
          <cell r="R261">
            <v>2750136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110005</v>
          </cell>
          <cell r="Z261">
            <v>124856</v>
          </cell>
          <cell r="AA261">
            <v>55003</v>
          </cell>
          <cell r="AC261">
            <v>2750136</v>
          </cell>
          <cell r="AD261">
            <v>27501</v>
          </cell>
          <cell r="AE261">
            <v>55003</v>
          </cell>
          <cell r="AF261">
            <v>27501</v>
          </cell>
          <cell r="AG261">
            <v>0</v>
          </cell>
          <cell r="AH261">
            <v>0</v>
          </cell>
          <cell r="AI261">
            <v>0</v>
          </cell>
        </row>
        <row r="262">
          <cell r="B262" t="str">
            <v>02-0623-045</v>
          </cell>
          <cell r="C262" t="str">
            <v>Fida Andriyana</v>
          </cell>
          <cell r="D262" t="str">
            <v>Kontrak</v>
          </cell>
          <cell r="E262" t="str">
            <v>Aktif</v>
          </cell>
          <cell r="G262">
            <v>21</v>
          </cell>
          <cell r="H262" t="str">
            <v>Operation</v>
          </cell>
          <cell r="I262" t="str">
            <v>Cleaning &amp; Security</v>
          </cell>
          <cell r="J262" t="str">
            <v>Security</v>
          </cell>
          <cell r="K262" t="str">
            <v>Crew</v>
          </cell>
          <cell r="L262" t="str">
            <v>1430610828</v>
          </cell>
          <cell r="M262">
            <v>21</v>
          </cell>
          <cell r="N262">
            <v>25</v>
          </cell>
          <cell r="O262">
            <v>2750136</v>
          </cell>
          <cell r="P262">
            <v>0</v>
          </cell>
          <cell r="Q262">
            <v>0</v>
          </cell>
          <cell r="R262">
            <v>2750136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110005</v>
          </cell>
          <cell r="Z262">
            <v>124856</v>
          </cell>
          <cell r="AA262">
            <v>55003</v>
          </cell>
          <cell r="AC262">
            <v>2750136</v>
          </cell>
          <cell r="AD262">
            <v>27501</v>
          </cell>
          <cell r="AE262">
            <v>55003</v>
          </cell>
          <cell r="AF262">
            <v>27501</v>
          </cell>
          <cell r="AG262">
            <v>0</v>
          </cell>
          <cell r="AH262">
            <v>0</v>
          </cell>
          <cell r="AI262">
            <v>0</v>
          </cell>
        </row>
        <row r="263">
          <cell r="B263" t="str">
            <v>02-0623-046</v>
          </cell>
          <cell r="C263" t="str">
            <v>Hanurawan Nugroho</v>
          </cell>
          <cell r="D263" t="str">
            <v>Kontrak</v>
          </cell>
          <cell r="E263" t="str">
            <v>Aktif</v>
          </cell>
          <cell r="G263">
            <v>21</v>
          </cell>
          <cell r="H263" t="str">
            <v>Maintenance</v>
          </cell>
          <cell r="I263" t="str">
            <v>Maintenance</v>
          </cell>
          <cell r="J263" t="str">
            <v>Maintenance Manager</v>
          </cell>
          <cell r="K263" t="str">
            <v>Manager</v>
          </cell>
          <cell r="L263" t="str">
            <v>5770306568</v>
          </cell>
          <cell r="M263">
            <v>18</v>
          </cell>
          <cell r="N263">
            <v>21</v>
          </cell>
          <cell r="O263">
            <v>18000000</v>
          </cell>
          <cell r="P263">
            <v>2000000</v>
          </cell>
          <cell r="Q263">
            <v>0</v>
          </cell>
          <cell r="R263">
            <v>20000000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C263">
            <v>20000000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B264" t="str">
            <v>02-0623-047</v>
          </cell>
          <cell r="C264" t="str">
            <v>Aditya Isfaudin</v>
          </cell>
          <cell r="D264" t="str">
            <v>Kontrak</v>
          </cell>
          <cell r="E264" t="str">
            <v>Aktif</v>
          </cell>
          <cell r="G264">
            <v>20</v>
          </cell>
          <cell r="H264" t="str">
            <v>Operation</v>
          </cell>
          <cell r="I264" t="str">
            <v>Operation</v>
          </cell>
          <cell r="J264" t="str">
            <v>Operation Crew</v>
          </cell>
          <cell r="K264" t="str">
            <v>Crew</v>
          </cell>
          <cell r="L264" t="str">
            <v>3200964071</v>
          </cell>
          <cell r="M264">
            <v>21</v>
          </cell>
          <cell r="N264">
            <v>25</v>
          </cell>
          <cell r="O264">
            <v>2750136</v>
          </cell>
          <cell r="P264">
            <v>0</v>
          </cell>
          <cell r="Q264">
            <v>0</v>
          </cell>
          <cell r="R264">
            <v>2750136</v>
          </cell>
          <cell r="S264">
            <v>0</v>
          </cell>
          <cell r="T264">
            <v>0</v>
          </cell>
          <cell r="U264">
            <v>0</v>
          </cell>
          <cell r="V264">
            <v>23845</v>
          </cell>
          <cell r="W264">
            <v>0</v>
          </cell>
          <cell r="X264">
            <v>0</v>
          </cell>
          <cell r="Y264">
            <v>110005</v>
          </cell>
          <cell r="Z264">
            <v>124856</v>
          </cell>
          <cell r="AA264">
            <v>55003</v>
          </cell>
          <cell r="AC264">
            <v>2773981</v>
          </cell>
          <cell r="AD264">
            <v>27501</v>
          </cell>
          <cell r="AE264">
            <v>55003</v>
          </cell>
          <cell r="AF264">
            <v>27501</v>
          </cell>
          <cell r="AG264">
            <v>0</v>
          </cell>
          <cell r="AH264">
            <v>0</v>
          </cell>
          <cell r="AI264">
            <v>0</v>
          </cell>
        </row>
        <row r="265">
          <cell r="B265" t="str">
            <v>02-0723-048</v>
          </cell>
          <cell r="C265" t="str">
            <v>Johannes Harwanto</v>
          </cell>
          <cell r="D265" t="str">
            <v>Kontrak</v>
          </cell>
          <cell r="E265" t="str">
            <v>Aktif</v>
          </cell>
          <cell r="G265">
            <v>20</v>
          </cell>
          <cell r="H265" t="str">
            <v>Management</v>
          </cell>
          <cell r="I265" t="str">
            <v>Operation</v>
          </cell>
          <cell r="J265" t="str">
            <v>Operation General Manager</v>
          </cell>
          <cell r="K265" t="str">
            <v>General Manager</v>
          </cell>
          <cell r="L265" t="str">
            <v>7361384982</v>
          </cell>
          <cell r="M265">
            <v>21</v>
          </cell>
          <cell r="N265">
            <v>21</v>
          </cell>
          <cell r="O265">
            <v>31000000</v>
          </cell>
          <cell r="P265">
            <v>4000000</v>
          </cell>
          <cell r="Q265">
            <v>0</v>
          </cell>
          <cell r="R265">
            <v>35000000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C265">
            <v>35000000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</row>
        <row r="266">
          <cell r="B266" t="str">
            <v>02-0823-051</v>
          </cell>
          <cell r="C266" t="str">
            <v>Aditya Rangga Saputra</v>
          </cell>
          <cell r="D266" t="str">
            <v>Kontrak</v>
          </cell>
          <cell r="E266" t="str">
            <v>Aktif</v>
          </cell>
          <cell r="G266">
            <v>19</v>
          </cell>
          <cell r="H266" t="str">
            <v>Inpark Revenue</v>
          </cell>
          <cell r="I266" t="str">
            <v>Inpark Revenue Operational</v>
          </cell>
          <cell r="J266" t="str">
            <v>Inpark Revenue Operational Crew</v>
          </cell>
          <cell r="K266" t="str">
            <v>Crew</v>
          </cell>
          <cell r="L266" t="str">
            <v>0132077612</v>
          </cell>
          <cell r="M266">
            <v>21</v>
          </cell>
          <cell r="N266">
            <v>25</v>
          </cell>
          <cell r="O266">
            <v>2750136</v>
          </cell>
          <cell r="P266">
            <v>0</v>
          </cell>
          <cell r="Q266">
            <v>0</v>
          </cell>
          <cell r="R266">
            <v>2750136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110005</v>
          </cell>
          <cell r="Z266">
            <v>124856</v>
          </cell>
          <cell r="AA266">
            <v>55003</v>
          </cell>
          <cell r="AC266">
            <v>2750136</v>
          </cell>
          <cell r="AD266">
            <v>27501</v>
          </cell>
          <cell r="AE266">
            <v>55003</v>
          </cell>
          <cell r="AF266">
            <v>27501</v>
          </cell>
          <cell r="AG266">
            <v>0</v>
          </cell>
          <cell r="AH266">
            <v>0</v>
          </cell>
          <cell r="AI266">
            <v>0</v>
          </cell>
        </row>
        <row r="267">
          <cell r="B267" t="str">
            <v>02-0823-053</v>
          </cell>
          <cell r="C267" t="str">
            <v>Chandra Rizky Ramadhan</v>
          </cell>
          <cell r="D267" t="str">
            <v>Kontrak</v>
          </cell>
          <cell r="E267" t="str">
            <v>Aktif</v>
          </cell>
          <cell r="G267">
            <v>19</v>
          </cell>
          <cell r="H267" t="str">
            <v>Inpark Revenue</v>
          </cell>
          <cell r="I267" t="str">
            <v>FB Product</v>
          </cell>
          <cell r="J267" t="str">
            <v>Distribusi Crew</v>
          </cell>
          <cell r="K267" t="str">
            <v>Crew</v>
          </cell>
          <cell r="L267" t="str">
            <v>3201064234</v>
          </cell>
          <cell r="M267">
            <v>20</v>
          </cell>
          <cell r="N267">
            <v>25</v>
          </cell>
          <cell r="O267">
            <v>2750136</v>
          </cell>
          <cell r="P267">
            <v>0</v>
          </cell>
          <cell r="Q267">
            <v>0</v>
          </cell>
          <cell r="R267">
            <v>2750136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110005</v>
          </cell>
          <cell r="Z267">
            <v>124856</v>
          </cell>
          <cell r="AA267">
            <v>55003</v>
          </cell>
          <cell r="AC267">
            <v>2750136</v>
          </cell>
          <cell r="AD267">
            <v>27501</v>
          </cell>
          <cell r="AE267">
            <v>55003</v>
          </cell>
          <cell r="AF267">
            <v>27501</v>
          </cell>
          <cell r="AG267">
            <v>0</v>
          </cell>
          <cell r="AH267">
            <v>0</v>
          </cell>
          <cell r="AI267">
            <v>0</v>
          </cell>
        </row>
        <row r="268">
          <cell r="B268" t="str">
            <v>02-0823-054</v>
          </cell>
          <cell r="C268" t="str">
            <v>Izan Alfa Jawad</v>
          </cell>
          <cell r="D268" t="str">
            <v>Kontrak</v>
          </cell>
          <cell r="E268" t="str">
            <v>Aktif</v>
          </cell>
          <cell r="G268">
            <v>19</v>
          </cell>
          <cell r="H268" t="str">
            <v>Inpark Revenue</v>
          </cell>
          <cell r="I268" t="str">
            <v>FB Product</v>
          </cell>
          <cell r="J268" t="str">
            <v>Dishwasher</v>
          </cell>
          <cell r="K268" t="str">
            <v>Crew</v>
          </cell>
          <cell r="L268" t="str">
            <v>0131541952</v>
          </cell>
          <cell r="M268">
            <v>20</v>
          </cell>
          <cell r="N268">
            <v>25</v>
          </cell>
          <cell r="O268">
            <v>2750136</v>
          </cell>
          <cell r="P268">
            <v>0</v>
          </cell>
          <cell r="Q268">
            <v>0</v>
          </cell>
          <cell r="R268">
            <v>2750136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110005</v>
          </cell>
          <cell r="Z268">
            <v>124856</v>
          </cell>
          <cell r="AA268">
            <v>55003</v>
          </cell>
          <cell r="AC268">
            <v>2750136</v>
          </cell>
          <cell r="AD268">
            <v>27501</v>
          </cell>
          <cell r="AE268">
            <v>55003</v>
          </cell>
          <cell r="AF268">
            <v>27501</v>
          </cell>
          <cell r="AG268">
            <v>0</v>
          </cell>
          <cell r="AH268">
            <v>0</v>
          </cell>
          <cell r="AI268">
            <v>0</v>
          </cell>
        </row>
        <row r="269">
          <cell r="B269" t="str">
            <v>02-0823-056</v>
          </cell>
          <cell r="C269" t="str">
            <v>Leones Ade Tiara</v>
          </cell>
          <cell r="D269" t="str">
            <v>Kontrak</v>
          </cell>
          <cell r="E269" t="str">
            <v>Aktif</v>
          </cell>
          <cell r="G269">
            <v>19</v>
          </cell>
          <cell r="H269" t="str">
            <v>Finance &amp; Accounting</v>
          </cell>
          <cell r="I269" t="str">
            <v>Finance</v>
          </cell>
          <cell r="J269" t="str">
            <v>Cashier Ticketing</v>
          </cell>
          <cell r="K269" t="str">
            <v>Crew</v>
          </cell>
          <cell r="L269" t="str">
            <v>0132098652</v>
          </cell>
          <cell r="M269">
            <v>22</v>
          </cell>
          <cell r="N269">
            <v>25</v>
          </cell>
          <cell r="O269">
            <v>2750136</v>
          </cell>
          <cell r="P269">
            <v>0</v>
          </cell>
          <cell r="Q269">
            <v>0</v>
          </cell>
          <cell r="R269">
            <v>2750136</v>
          </cell>
          <cell r="S269">
            <v>0</v>
          </cell>
          <cell r="T269">
            <v>0</v>
          </cell>
          <cell r="U269">
            <v>0</v>
          </cell>
          <cell r="V269">
            <v>55639</v>
          </cell>
          <cell r="W269">
            <v>0</v>
          </cell>
          <cell r="X269">
            <v>0</v>
          </cell>
          <cell r="Y269">
            <v>110005</v>
          </cell>
          <cell r="Z269">
            <v>124856</v>
          </cell>
          <cell r="AA269">
            <v>55003</v>
          </cell>
          <cell r="AC269">
            <v>2805775</v>
          </cell>
          <cell r="AD269">
            <v>27501</v>
          </cell>
          <cell r="AE269">
            <v>55003</v>
          </cell>
          <cell r="AF269">
            <v>27501</v>
          </cell>
          <cell r="AG269">
            <v>0</v>
          </cell>
          <cell r="AH269">
            <v>0</v>
          </cell>
          <cell r="AI269">
            <v>0</v>
          </cell>
        </row>
        <row r="270">
          <cell r="B270" t="str">
            <v>02-0823-057</v>
          </cell>
          <cell r="C270" t="str">
            <v>Trio Setiatmoko</v>
          </cell>
          <cell r="D270" t="str">
            <v>Kontrak</v>
          </cell>
          <cell r="E270" t="str">
            <v>Aktif</v>
          </cell>
          <cell r="G270">
            <v>19</v>
          </cell>
          <cell r="H270" t="str">
            <v>Inpark Revenue</v>
          </cell>
          <cell r="I270" t="str">
            <v>FB Product</v>
          </cell>
          <cell r="J270" t="str">
            <v>Dishwasher</v>
          </cell>
          <cell r="K270" t="str">
            <v>Crew</v>
          </cell>
          <cell r="L270" t="str">
            <v>0132098458</v>
          </cell>
          <cell r="M270">
            <v>20</v>
          </cell>
          <cell r="N270">
            <v>25</v>
          </cell>
          <cell r="O270">
            <v>2750136</v>
          </cell>
          <cell r="P270">
            <v>0</v>
          </cell>
          <cell r="Q270">
            <v>0</v>
          </cell>
          <cell r="R270">
            <v>2750136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110005</v>
          </cell>
          <cell r="Z270">
            <v>124856</v>
          </cell>
          <cell r="AA270">
            <v>55003</v>
          </cell>
          <cell r="AC270">
            <v>2750136</v>
          </cell>
          <cell r="AD270">
            <v>27501</v>
          </cell>
          <cell r="AE270">
            <v>55003</v>
          </cell>
          <cell r="AF270">
            <v>27501</v>
          </cell>
          <cell r="AG270">
            <v>0</v>
          </cell>
          <cell r="AH270">
            <v>0</v>
          </cell>
          <cell r="AI270">
            <v>0</v>
          </cell>
        </row>
        <row r="271">
          <cell r="B271" t="str">
            <v>02-0823-058</v>
          </cell>
          <cell r="C271" t="str">
            <v>Fajar Kusuma Hanu Kencana</v>
          </cell>
          <cell r="D271" t="str">
            <v>Kontrak</v>
          </cell>
          <cell r="E271" t="str">
            <v>Aktif</v>
          </cell>
          <cell r="G271">
            <v>19</v>
          </cell>
          <cell r="H271" t="str">
            <v>Finance &amp; Accounting</v>
          </cell>
          <cell r="I271" t="str">
            <v>Warehouse</v>
          </cell>
          <cell r="J271" t="str">
            <v>Warehouse Crew</v>
          </cell>
          <cell r="K271" t="str">
            <v>Crew</v>
          </cell>
          <cell r="L271" t="str">
            <v>2221326735</v>
          </cell>
          <cell r="M271">
            <v>18</v>
          </cell>
          <cell r="N271">
            <v>21</v>
          </cell>
          <cell r="O271">
            <v>2950753</v>
          </cell>
          <cell r="P271">
            <v>0</v>
          </cell>
          <cell r="Q271">
            <v>0</v>
          </cell>
          <cell r="R271">
            <v>2950753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118030</v>
          </cell>
          <cell r="Z271">
            <v>133964</v>
          </cell>
          <cell r="AA271">
            <v>59015</v>
          </cell>
          <cell r="AC271">
            <v>2950753</v>
          </cell>
          <cell r="AD271">
            <v>29508</v>
          </cell>
          <cell r="AE271">
            <v>59015</v>
          </cell>
          <cell r="AF271">
            <v>29508</v>
          </cell>
          <cell r="AG271">
            <v>0</v>
          </cell>
          <cell r="AH271">
            <v>0</v>
          </cell>
          <cell r="AI271">
            <v>0</v>
          </cell>
        </row>
        <row r="272">
          <cell r="B272" t="str">
            <v>02-0923-060</v>
          </cell>
          <cell r="C272" t="str">
            <v>Agnes Cherrly</v>
          </cell>
          <cell r="D272" t="str">
            <v>Kontrak</v>
          </cell>
          <cell r="E272" t="str">
            <v>Aktif</v>
          </cell>
          <cell r="G272">
            <v>18</v>
          </cell>
          <cell r="H272" t="str">
            <v>IT</v>
          </cell>
          <cell r="I272" t="str">
            <v>Aplikasi &amp; System</v>
          </cell>
          <cell r="J272" t="str">
            <v>Programmer Officer</v>
          </cell>
          <cell r="K272" t="str">
            <v>Officer</v>
          </cell>
          <cell r="L272" t="str">
            <v>0132113040</v>
          </cell>
          <cell r="M272">
            <v>13</v>
          </cell>
          <cell r="N272">
            <v>21</v>
          </cell>
          <cell r="O272">
            <v>3080000</v>
          </cell>
          <cell r="P272">
            <v>500000</v>
          </cell>
          <cell r="Q272">
            <v>0</v>
          </cell>
          <cell r="R272">
            <v>3580000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135000</v>
          </cell>
          <cell r="X272">
            <v>0</v>
          </cell>
          <cell r="Y272">
            <v>143200</v>
          </cell>
          <cell r="Z272">
            <v>162532</v>
          </cell>
          <cell r="AA272">
            <v>71600</v>
          </cell>
          <cell r="AC272">
            <v>3715000</v>
          </cell>
          <cell r="AD272">
            <v>35800</v>
          </cell>
          <cell r="AE272">
            <v>71600</v>
          </cell>
          <cell r="AF272">
            <v>35800</v>
          </cell>
          <cell r="AG272">
            <v>0</v>
          </cell>
          <cell r="AH272">
            <v>0</v>
          </cell>
          <cell r="AI272">
            <v>0</v>
          </cell>
        </row>
        <row r="273">
          <cell r="B273" t="str">
            <v>02-0923-061</v>
          </cell>
          <cell r="C273" t="str">
            <v>Akhmad Khaerul Umam</v>
          </cell>
          <cell r="D273" t="str">
            <v>Kontrak</v>
          </cell>
          <cell r="E273" t="str">
            <v>Aktif</v>
          </cell>
          <cell r="G273">
            <v>18</v>
          </cell>
          <cell r="H273" t="str">
            <v>Inpark Revenue</v>
          </cell>
          <cell r="I273" t="str">
            <v>Inpark Revenue Operational</v>
          </cell>
          <cell r="J273" t="str">
            <v>Barista</v>
          </cell>
          <cell r="K273" t="str">
            <v>Crew</v>
          </cell>
          <cell r="L273" t="str">
            <v>0132115174</v>
          </cell>
          <cell r="M273">
            <v>21</v>
          </cell>
          <cell r="N273">
            <v>25</v>
          </cell>
          <cell r="O273">
            <v>2750136</v>
          </cell>
          <cell r="P273">
            <v>0</v>
          </cell>
          <cell r="Q273">
            <v>0</v>
          </cell>
          <cell r="R273">
            <v>2750136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110005</v>
          </cell>
          <cell r="Z273">
            <v>124856</v>
          </cell>
          <cell r="AA273">
            <v>55003</v>
          </cell>
          <cell r="AC273">
            <v>2750136</v>
          </cell>
          <cell r="AD273">
            <v>27501</v>
          </cell>
          <cell r="AE273">
            <v>55003</v>
          </cell>
          <cell r="AF273">
            <v>27501</v>
          </cell>
          <cell r="AG273">
            <v>0</v>
          </cell>
          <cell r="AH273">
            <v>0</v>
          </cell>
          <cell r="AI273">
            <v>0</v>
          </cell>
        </row>
        <row r="274">
          <cell r="B274" t="str">
            <v>02-0923-067</v>
          </cell>
          <cell r="C274" t="str">
            <v>Samuel Reynaldi</v>
          </cell>
          <cell r="D274" t="str">
            <v>Kontrak</v>
          </cell>
          <cell r="E274" t="str">
            <v>Aktif</v>
          </cell>
          <cell r="G274">
            <v>18</v>
          </cell>
          <cell r="H274" t="str">
            <v>Inpark Revenue</v>
          </cell>
          <cell r="I274" t="str">
            <v>FB Product</v>
          </cell>
          <cell r="J274" t="str">
            <v>Distribusi Crew</v>
          </cell>
          <cell r="K274" t="str">
            <v>Crew</v>
          </cell>
          <cell r="L274" t="str">
            <v>0132140772</v>
          </cell>
          <cell r="M274">
            <v>21</v>
          </cell>
          <cell r="N274">
            <v>25</v>
          </cell>
          <cell r="O274">
            <v>2750136</v>
          </cell>
          <cell r="P274">
            <v>0</v>
          </cell>
          <cell r="Q274">
            <v>0</v>
          </cell>
          <cell r="R274">
            <v>2750136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110005</v>
          </cell>
          <cell r="Z274">
            <v>124856</v>
          </cell>
          <cell r="AA274">
            <v>55003</v>
          </cell>
          <cell r="AC274">
            <v>2750136</v>
          </cell>
          <cell r="AD274">
            <v>27501</v>
          </cell>
          <cell r="AE274">
            <v>55003</v>
          </cell>
          <cell r="AF274">
            <v>27501</v>
          </cell>
          <cell r="AG274">
            <v>0</v>
          </cell>
          <cell r="AH274">
            <v>0</v>
          </cell>
          <cell r="AI274">
            <v>0</v>
          </cell>
        </row>
        <row r="275">
          <cell r="B275" t="str">
            <v>02-0923-063</v>
          </cell>
          <cell r="C275" t="str">
            <v>Sukir</v>
          </cell>
          <cell r="D275" t="str">
            <v>Kontrak</v>
          </cell>
          <cell r="E275" t="str">
            <v>Aktif</v>
          </cell>
          <cell r="G275">
            <v>18</v>
          </cell>
          <cell r="H275" t="str">
            <v>Maintenance</v>
          </cell>
          <cell r="I275" t="str">
            <v>Landscape &amp; Environment</v>
          </cell>
          <cell r="J275" t="str">
            <v>Landscape Crew</v>
          </cell>
          <cell r="K275" t="str">
            <v>Crew</v>
          </cell>
          <cell r="L275" t="str">
            <v>0132141124</v>
          </cell>
          <cell r="M275">
            <v>22</v>
          </cell>
          <cell r="N275">
            <v>25</v>
          </cell>
          <cell r="O275">
            <v>2750136</v>
          </cell>
          <cell r="P275">
            <v>0</v>
          </cell>
          <cell r="Q275">
            <v>0</v>
          </cell>
          <cell r="R275">
            <v>2750136</v>
          </cell>
          <cell r="S275">
            <v>0</v>
          </cell>
          <cell r="T275">
            <v>0</v>
          </cell>
          <cell r="U275">
            <v>0</v>
          </cell>
          <cell r="V275">
            <v>238452</v>
          </cell>
          <cell r="W275">
            <v>0</v>
          </cell>
          <cell r="X275">
            <v>0</v>
          </cell>
          <cell r="Y275">
            <v>110005</v>
          </cell>
          <cell r="Z275">
            <v>124856</v>
          </cell>
          <cell r="AA275">
            <v>55003</v>
          </cell>
          <cell r="AC275">
            <v>2988588</v>
          </cell>
          <cell r="AD275">
            <v>27501</v>
          </cell>
          <cell r="AE275">
            <v>55003</v>
          </cell>
          <cell r="AF275">
            <v>27501</v>
          </cell>
          <cell r="AG275">
            <v>0</v>
          </cell>
          <cell r="AH275">
            <v>0</v>
          </cell>
          <cell r="AI275">
            <v>0</v>
          </cell>
        </row>
        <row r="276">
          <cell r="B276" t="str">
            <v>02-1023-068</v>
          </cell>
          <cell r="C276" t="str">
            <v>Suryadi</v>
          </cell>
          <cell r="D276" t="str">
            <v>Kontrak</v>
          </cell>
          <cell r="E276" t="str">
            <v>Aktif</v>
          </cell>
          <cell r="G276">
            <v>17</v>
          </cell>
          <cell r="H276" t="str">
            <v>Maintenance</v>
          </cell>
          <cell r="I276" t="str">
            <v>Civil &amp; Decoration</v>
          </cell>
          <cell r="J276" t="str">
            <v>Civil Crew</v>
          </cell>
          <cell r="K276" t="str">
            <v>Crew</v>
          </cell>
          <cell r="L276" t="str">
            <v>0131317670</v>
          </cell>
          <cell r="M276">
            <v>19</v>
          </cell>
          <cell r="N276">
            <v>25</v>
          </cell>
          <cell r="O276">
            <v>2750136</v>
          </cell>
          <cell r="P276">
            <v>0</v>
          </cell>
          <cell r="Q276">
            <v>0</v>
          </cell>
          <cell r="R276">
            <v>2750136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110005</v>
          </cell>
          <cell r="Z276">
            <v>124856</v>
          </cell>
          <cell r="AA276">
            <v>55003</v>
          </cell>
          <cell r="AC276">
            <v>2750136</v>
          </cell>
          <cell r="AD276">
            <v>27501</v>
          </cell>
          <cell r="AE276">
            <v>55003</v>
          </cell>
          <cell r="AF276">
            <v>27501</v>
          </cell>
          <cell r="AG276">
            <v>0</v>
          </cell>
          <cell r="AH276">
            <v>0</v>
          </cell>
          <cell r="AI276">
            <v>0</v>
          </cell>
        </row>
        <row r="277">
          <cell r="B277" t="str">
            <v>02-1023-069</v>
          </cell>
          <cell r="C277" t="str">
            <v>Slamet Lastoro</v>
          </cell>
          <cell r="D277" t="str">
            <v>Kontrak</v>
          </cell>
          <cell r="E277" t="str">
            <v>Aktif</v>
          </cell>
          <cell r="G277">
            <v>17</v>
          </cell>
          <cell r="H277" t="str">
            <v>Maintenance</v>
          </cell>
          <cell r="I277" t="str">
            <v>Civil &amp; Decoration</v>
          </cell>
          <cell r="J277" t="str">
            <v>Civil Crew</v>
          </cell>
          <cell r="K277" t="str">
            <v>Crew</v>
          </cell>
          <cell r="L277" t="str">
            <v>3201084120</v>
          </cell>
          <cell r="M277">
            <v>22</v>
          </cell>
          <cell r="N277">
            <v>25</v>
          </cell>
          <cell r="O277">
            <v>2750136</v>
          </cell>
          <cell r="P277">
            <v>0</v>
          </cell>
          <cell r="Q277">
            <v>0</v>
          </cell>
          <cell r="R277">
            <v>2750136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110005</v>
          </cell>
          <cell r="Z277">
            <v>124856</v>
          </cell>
          <cell r="AA277">
            <v>0</v>
          </cell>
          <cell r="AC277">
            <v>2750136</v>
          </cell>
          <cell r="AD277">
            <v>27501</v>
          </cell>
          <cell r="AE277">
            <v>55003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</row>
        <row r="278">
          <cell r="B278" t="str">
            <v>02-1023-070</v>
          </cell>
          <cell r="C278" t="str">
            <v>Catur Budiharto</v>
          </cell>
          <cell r="D278" t="str">
            <v>Kontrak</v>
          </cell>
          <cell r="E278" t="str">
            <v>Aktif</v>
          </cell>
          <cell r="G278">
            <v>17</v>
          </cell>
          <cell r="H278" t="str">
            <v>Maintenance</v>
          </cell>
          <cell r="I278" t="str">
            <v>Civil &amp; Decoration</v>
          </cell>
          <cell r="J278" t="str">
            <v>Civil Crew</v>
          </cell>
          <cell r="K278" t="str">
            <v>Crew</v>
          </cell>
          <cell r="L278" t="str">
            <v>0132159155</v>
          </cell>
          <cell r="M278">
            <v>23</v>
          </cell>
          <cell r="N278">
            <v>25</v>
          </cell>
          <cell r="O278">
            <v>2750136</v>
          </cell>
          <cell r="P278">
            <v>0</v>
          </cell>
          <cell r="Q278">
            <v>0</v>
          </cell>
          <cell r="R278">
            <v>2750136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110005</v>
          </cell>
          <cell r="Z278">
            <v>124856</v>
          </cell>
          <cell r="AA278">
            <v>55003</v>
          </cell>
          <cell r="AC278">
            <v>2750136</v>
          </cell>
          <cell r="AD278">
            <v>27501</v>
          </cell>
          <cell r="AE278">
            <v>55003</v>
          </cell>
          <cell r="AF278">
            <v>27501</v>
          </cell>
          <cell r="AG278">
            <v>0</v>
          </cell>
          <cell r="AH278">
            <v>0</v>
          </cell>
          <cell r="AI278">
            <v>0</v>
          </cell>
        </row>
        <row r="279">
          <cell r="B279" t="str">
            <v>02-1123-073</v>
          </cell>
          <cell r="C279" t="str">
            <v>Siti Zaniah</v>
          </cell>
          <cell r="D279" t="str">
            <v>Kontrak</v>
          </cell>
          <cell r="E279" t="str">
            <v>Aktif</v>
          </cell>
          <cell r="G279">
            <v>16</v>
          </cell>
          <cell r="H279" t="str">
            <v>Operation</v>
          </cell>
          <cell r="I279" t="str">
            <v>Cleaning &amp; Security</v>
          </cell>
          <cell r="J279" t="str">
            <v>Security</v>
          </cell>
          <cell r="K279" t="str">
            <v>Crew</v>
          </cell>
          <cell r="L279" t="str">
            <v>0132175223</v>
          </cell>
          <cell r="M279">
            <v>21</v>
          </cell>
          <cell r="N279">
            <v>25</v>
          </cell>
          <cell r="O279">
            <v>2750136</v>
          </cell>
          <cell r="P279">
            <v>0</v>
          </cell>
          <cell r="Q279">
            <v>0</v>
          </cell>
          <cell r="R279">
            <v>2750136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110005</v>
          </cell>
          <cell r="Z279">
            <v>124856</v>
          </cell>
          <cell r="AA279">
            <v>55003</v>
          </cell>
          <cell r="AC279">
            <v>2750136</v>
          </cell>
          <cell r="AD279">
            <v>27501</v>
          </cell>
          <cell r="AE279">
            <v>55003</v>
          </cell>
          <cell r="AF279">
            <v>27501</v>
          </cell>
          <cell r="AG279">
            <v>0</v>
          </cell>
          <cell r="AH279">
            <v>0</v>
          </cell>
          <cell r="AI279">
            <v>0</v>
          </cell>
        </row>
        <row r="280">
          <cell r="B280" t="str">
            <v>02-1123-075</v>
          </cell>
          <cell r="C280" t="str">
            <v>Jonathan Kristianto</v>
          </cell>
          <cell r="D280" t="str">
            <v>Kontrak</v>
          </cell>
          <cell r="E280" t="str">
            <v>Aktif</v>
          </cell>
          <cell r="G280">
            <v>16</v>
          </cell>
          <cell r="H280" t="str">
            <v>HR &amp; Legal</v>
          </cell>
          <cell r="I280" t="str">
            <v>HRM</v>
          </cell>
          <cell r="J280" t="str">
            <v>Recruitment Officer</v>
          </cell>
          <cell r="K280" t="str">
            <v>Officer</v>
          </cell>
          <cell r="L280" t="str">
            <v>7370546546</v>
          </cell>
          <cell r="M280">
            <v>21</v>
          </cell>
          <cell r="N280">
            <v>21</v>
          </cell>
          <cell r="O280">
            <v>3080000</v>
          </cell>
          <cell r="P280">
            <v>500000</v>
          </cell>
          <cell r="Q280">
            <v>0</v>
          </cell>
          <cell r="R280">
            <v>3580000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100000</v>
          </cell>
          <cell r="X280">
            <v>0</v>
          </cell>
          <cell r="Y280">
            <v>143200</v>
          </cell>
          <cell r="Z280">
            <v>162532</v>
          </cell>
          <cell r="AA280">
            <v>71600</v>
          </cell>
          <cell r="AC280">
            <v>3680000</v>
          </cell>
          <cell r="AD280">
            <v>35800</v>
          </cell>
          <cell r="AE280">
            <v>71600</v>
          </cell>
          <cell r="AF280">
            <v>35800</v>
          </cell>
          <cell r="AG280">
            <v>0</v>
          </cell>
          <cell r="AH280">
            <v>0</v>
          </cell>
          <cell r="AI280">
            <v>0</v>
          </cell>
        </row>
        <row r="281">
          <cell r="B281" t="str">
            <v>02-1123-076</v>
          </cell>
          <cell r="C281" t="str">
            <v>Firdaus Novianto</v>
          </cell>
          <cell r="D281" t="str">
            <v>Kontrak</v>
          </cell>
          <cell r="E281" t="str">
            <v>Aktif</v>
          </cell>
          <cell r="G281">
            <v>16</v>
          </cell>
          <cell r="H281" t="str">
            <v>Inpark Revenue</v>
          </cell>
          <cell r="I281" t="str">
            <v>Inpark Revenue</v>
          </cell>
          <cell r="J281" t="str">
            <v>Inpark revenue Manager</v>
          </cell>
          <cell r="K281" t="str">
            <v>Manager</v>
          </cell>
          <cell r="L281" t="str">
            <v>7300127970</v>
          </cell>
          <cell r="M281">
            <v>19</v>
          </cell>
          <cell r="N281">
            <v>21</v>
          </cell>
          <cell r="O281">
            <v>13750000</v>
          </cell>
          <cell r="P281">
            <v>2000000</v>
          </cell>
          <cell r="Q281">
            <v>0</v>
          </cell>
          <cell r="R281">
            <v>15750000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480000</v>
          </cell>
          <cell r="Z281">
            <v>715050</v>
          </cell>
          <cell r="AA281">
            <v>210948</v>
          </cell>
          <cell r="AC281">
            <v>15750000</v>
          </cell>
          <cell r="AD281">
            <v>120000</v>
          </cell>
          <cell r="AE281">
            <v>315000</v>
          </cell>
          <cell r="AF281">
            <v>105474</v>
          </cell>
          <cell r="AG281">
            <v>0</v>
          </cell>
          <cell r="AH281">
            <v>0</v>
          </cell>
          <cell r="AI281">
            <v>0</v>
          </cell>
        </row>
        <row r="282">
          <cell r="B282" t="str">
            <v>02-1123-077</v>
          </cell>
          <cell r="C282" t="str">
            <v>Ahmad Khasan Al Fauzi</v>
          </cell>
          <cell r="D282" t="str">
            <v>Kontrak</v>
          </cell>
          <cell r="E282" t="str">
            <v>Aktif</v>
          </cell>
          <cell r="G282">
            <v>15</v>
          </cell>
          <cell r="H282" t="str">
            <v>Operation</v>
          </cell>
          <cell r="I282" t="str">
            <v>Operation</v>
          </cell>
          <cell r="J282" t="str">
            <v>Angon Ingon Crew</v>
          </cell>
          <cell r="K282" t="str">
            <v>Crew</v>
          </cell>
          <cell r="L282" t="str">
            <v>0131997760</v>
          </cell>
          <cell r="M282">
            <v>22</v>
          </cell>
          <cell r="N282">
            <v>25</v>
          </cell>
          <cell r="O282">
            <v>2750136</v>
          </cell>
          <cell r="P282">
            <v>0</v>
          </cell>
          <cell r="Q282">
            <v>0</v>
          </cell>
          <cell r="R282">
            <v>2750136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110005</v>
          </cell>
          <cell r="Z282">
            <v>124856</v>
          </cell>
          <cell r="AA282">
            <v>55003</v>
          </cell>
          <cell r="AC282">
            <v>2750136</v>
          </cell>
          <cell r="AD282">
            <v>27501</v>
          </cell>
          <cell r="AE282">
            <v>55003</v>
          </cell>
          <cell r="AF282">
            <v>27501</v>
          </cell>
          <cell r="AG282">
            <v>0</v>
          </cell>
          <cell r="AH282">
            <v>0</v>
          </cell>
          <cell r="AI282">
            <v>0</v>
          </cell>
        </row>
        <row r="283">
          <cell r="B283" t="str">
            <v>02-1223-078</v>
          </cell>
          <cell r="C283" t="str">
            <v>Rebecca Elisabeth Juliana</v>
          </cell>
          <cell r="D283" t="str">
            <v>Kontrak</v>
          </cell>
          <cell r="E283" t="str">
            <v>Aktif</v>
          </cell>
          <cell r="G283">
            <v>15</v>
          </cell>
          <cell r="H283" t="str">
            <v>Marketing &amp; Partenership</v>
          </cell>
          <cell r="I283" t="str">
            <v>Corporate Communication</v>
          </cell>
          <cell r="J283" t="str">
            <v>Research &amp; Analysis Officer</v>
          </cell>
          <cell r="K283" t="str">
            <v>Officer</v>
          </cell>
          <cell r="L283" t="str">
            <v>2221009136</v>
          </cell>
          <cell r="M283">
            <v>17</v>
          </cell>
          <cell r="N283">
            <v>21</v>
          </cell>
          <cell r="O283">
            <v>3500000</v>
          </cell>
          <cell r="P283">
            <v>500000</v>
          </cell>
          <cell r="Q283">
            <v>0</v>
          </cell>
          <cell r="R283">
            <v>4000000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160000</v>
          </cell>
          <cell r="Z283">
            <v>181600</v>
          </cell>
          <cell r="AA283">
            <v>80000</v>
          </cell>
          <cell r="AC283">
            <v>4000000</v>
          </cell>
          <cell r="AD283">
            <v>40000</v>
          </cell>
          <cell r="AE283">
            <v>80000</v>
          </cell>
          <cell r="AF283">
            <v>40000</v>
          </cell>
          <cell r="AG283">
            <v>0</v>
          </cell>
          <cell r="AH283">
            <v>0</v>
          </cell>
          <cell r="AI283">
            <v>0</v>
          </cell>
        </row>
        <row r="284">
          <cell r="B284" t="str">
            <v>02-0124-001</v>
          </cell>
          <cell r="C284" t="str">
            <v>Muhammad Jamil Hadi Susilo</v>
          </cell>
          <cell r="D284" t="str">
            <v>Kontrak</v>
          </cell>
          <cell r="E284" t="str">
            <v>Aktif</v>
          </cell>
          <cell r="G284">
            <v>14</v>
          </cell>
          <cell r="H284" t="str">
            <v>Inpark Revenue</v>
          </cell>
          <cell r="I284" t="str">
            <v>FB Product</v>
          </cell>
          <cell r="J284" t="str">
            <v>Dishwasher</v>
          </cell>
          <cell r="K284" t="str">
            <v>Crew</v>
          </cell>
          <cell r="L284" t="str">
            <v>0132208334</v>
          </cell>
          <cell r="M284">
            <v>21</v>
          </cell>
          <cell r="N284">
            <v>25</v>
          </cell>
          <cell r="O284">
            <v>2750136</v>
          </cell>
          <cell r="P284">
            <v>0</v>
          </cell>
          <cell r="Q284">
            <v>0</v>
          </cell>
          <cell r="R284">
            <v>2750136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110005</v>
          </cell>
          <cell r="Z284">
            <v>124856</v>
          </cell>
          <cell r="AA284">
            <v>55003</v>
          </cell>
          <cell r="AC284">
            <v>2750136</v>
          </cell>
          <cell r="AD284">
            <v>27501</v>
          </cell>
          <cell r="AE284">
            <v>55003</v>
          </cell>
          <cell r="AF284">
            <v>27501</v>
          </cell>
          <cell r="AG284">
            <v>0</v>
          </cell>
          <cell r="AH284">
            <v>0</v>
          </cell>
          <cell r="AI284">
            <v>0</v>
          </cell>
        </row>
        <row r="285">
          <cell r="B285" t="str">
            <v>02-0124-002</v>
          </cell>
          <cell r="C285" t="str">
            <v>Titus Arifianto</v>
          </cell>
          <cell r="D285" t="str">
            <v>Kontrak</v>
          </cell>
          <cell r="E285" t="str">
            <v>Aktif</v>
          </cell>
          <cell r="G285">
            <v>14</v>
          </cell>
          <cell r="H285" t="str">
            <v>Finance &amp; Accounting</v>
          </cell>
          <cell r="I285" t="str">
            <v>Accounting</v>
          </cell>
          <cell r="J285" t="str">
            <v>Accounting SPV</v>
          </cell>
          <cell r="K285" t="str">
            <v>SPV</v>
          </cell>
          <cell r="L285" t="str">
            <v>8030758596</v>
          </cell>
          <cell r="M285">
            <v>19</v>
          </cell>
          <cell r="N285">
            <v>21</v>
          </cell>
          <cell r="O285">
            <v>8000000</v>
          </cell>
          <cell r="P285">
            <v>1000000</v>
          </cell>
          <cell r="Q285">
            <v>0</v>
          </cell>
          <cell r="R285">
            <v>9000000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360000</v>
          </cell>
          <cell r="Z285">
            <v>408600</v>
          </cell>
          <cell r="AA285">
            <v>180000</v>
          </cell>
          <cell r="AC285">
            <v>9000000</v>
          </cell>
          <cell r="AD285">
            <v>90000</v>
          </cell>
          <cell r="AE285">
            <v>180000</v>
          </cell>
          <cell r="AF285">
            <v>90000</v>
          </cell>
          <cell r="AG285">
            <v>0</v>
          </cell>
          <cell r="AH285">
            <v>0</v>
          </cell>
          <cell r="AI285">
            <v>0</v>
          </cell>
        </row>
        <row r="286">
          <cell r="B286" t="str">
            <v>01-0223-001</v>
          </cell>
          <cell r="C286" t="str">
            <v>Pancoro Adhi Admaja</v>
          </cell>
          <cell r="D286">
            <v>0</v>
          </cell>
          <cell r="E286" t="str">
            <v>Aktif</v>
          </cell>
          <cell r="G286">
            <v>25</v>
          </cell>
          <cell r="H286" t="str">
            <v>HR &amp; Legal</v>
          </cell>
          <cell r="I286" t="str">
            <v>HR &amp; Legal</v>
          </cell>
          <cell r="J286" t="str">
            <v>Pj HR &amp; Legal Manager</v>
          </cell>
          <cell r="K286" t="str">
            <v>Manager</v>
          </cell>
          <cell r="L286" t="str">
            <v>0154310637</v>
          </cell>
          <cell r="M286">
            <v>18</v>
          </cell>
          <cell r="N286">
            <v>21</v>
          </cell>
          <cell r="O286">
            <v>10000000</v>
          </cell>
          <cell r="Q286">
            <v>0</v>
          </cell>
          <cell r="R286">
            <v>10000000</v>
          </cell>
          <cell r="S286">
            <v>47600</v>
          </cell>
          <cell r="T286">
            <v>856800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C286">
            <v>10856800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B287" t="str">
            <v>02-0124-003</v>
          </cell>
          <cell r="C287" t="str">
            <v>Davi Zaki Aulia</v>
          </cell>
          <cell r="D287" t="str">
            <v>Kontrak</v>
          </cell>
          <cell r="E287" t="str">
            <v>Aktif</v>
          </cell>
          <cell r="G287">
            <v>14</v>
          </cell>
          <cell r="H287" t="str">
            <v>Marketing &amp; Partenership</v>
          </cell>
          <cell r="I287" t="str">
            <v>Marketing Communication</v>
          </cell>
          <cell r="J287" t="str">
            <v>Content Creator Officer</v>
          </cell>
          <cell r="K287" t="str">
            <v>Officer</v>
          </cell>
          <cell r="L287" t="str">
            <v>0131797426</v>
          </cell>
          <cell r="M287">
            <v>19</v>
          </cell>
          <cell r="N287">
            <v>21</v>
          </cell>
          <cell r="O287">
            <v>2992500</v>
          </cell>
          <cell r="P287">
            <v>500000</v>
          </cell>
          <cell r="Q287">
            <v>0</v>
          </cell>
          <cell r="R287">
            <v>3492500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139700</v>
          </cell>
          <cell r="Z287">
            <v>158560</v>
          </cell>
          <cell r="AA287">
            <v>69850</v>
          </cell>
          <cell r="AC287">
            <v>3492500</v>
          </cell>
          <cell r="AD287">
            <v>34925</v>
          </cell>
          <cell r="AE287">
            <v>69850</v>
          </cell>
          <cell r="AF287">
            <v>34925</v>
          </cell>
          <cell r="AG287">
            <v>0</v>
          </cell>
          <cell r="AH287">
            <v>0</v>
          </cell>
          <cell r="AI287">
            <v>0</v>
          </cell>
        </row>
        <row r="288">
          <cell r="B288" t="str">
            <v>02-0124-004</v>
          </cell>
          <cell r="C288" t="str">
            <v>Nastain Dwi Cahyanto</v>
          </cell>
          <cell r="D288" t="str">
            <v>Kontrak</v>
          </cell>
          <cell r="E288" t="str">
            <v>Aktif</v>
          </cell>
          <cell r="G288">
            <v>14</v>
          </cell>
          <cell r="H288" t="str">
            <v>Procurement &amp; GA</v>
          </cell>
          <cell r="I288" t="str">
            <v>GA</v>
          </cell>
          <cell r="J288" t="str">
            <v>Driver</v>
          </cell>
          <cell r="K288" t="str">
            <v>Crew</v>
          </cell>
          <cell r="L288" t="str">
            <v>0131934776</v>
          </cell>
          <cell r="M288">
            <v>19</v>
          </cell>
          <cell r="N288">
            <v>21</v>
          </cell>
          <cell r="O288">
            <v>2750136</v>
          </cell>
          <cell r="P288">
            <v>0</v>
          </cell>
          <cell r="Q288">
            <v>0</v>
          </cell>
          <cell r="R288">
            <v>2750136</v>
          </cell>
          <cell r="S288">
            <v>0</v>
          </cell>
          <cell r="T288">
            <v>0</v>
          </cell>
          <cell r="U288">
            <v>0</v>
          </cell>
          <cell r="V288">
            <v>47690</v>
          </cell>
          <cell r="W288">
            <v>0</v>
          </cell>
          <cell r="X288">
            <v>0</v>
          </cell>
          <cell r="Y288">
            <v>110005</v>
          </cell>
          <cell r="Z288">
            <v>124856</v>
          </cell>
          <cell r="AA288">
            <v>55003</v>
          </cell>
          <cell r="AC288">
            <v>2797826</v>
          </cell>
          <cell r="AD288">
            <v>27501</v>
          </cell>
          <cell r="AE288">
            <v>55003</v>
          </cell>
          <cell r="AF288">
            <v>27501</v>
          </cell>
          <cell r="AG288">
            <v>0</v>
          </cell>
          <cell r="AH288">
            <v>0</v>
          </cell>
          <cell r="AI288">
            <v>0</v>
          </cell>
        </row>
        <row r="289">
          <cell r="B289" t="str">
            <v>02-0224-007</v>
          </cell>
          <cell r="C289" t="str">
            <v>Antika lorien</v>
          </cell>
          <cell r="D289" t="str">
            <v>Kontrak</v>
          </cell>
          <cell r="E289" t="str">
            <v>Aktif</v>
          </cell>
          <cell r="G289">
            <v>13</v>
          </cell>
          <cell r="H289" t="str">
            <v>IT</v>
          </cell>
          <cell r="I289" t="str">
            <v>Aplikasi &amp; System</v>
          </cell>
          <cell r="J289" t="str">
            <v>Programmer Officer</v>
          </cell>
          <cell r="K289" t="str">
            <v>Officer</v>
          </cell>
          <cell r="L289" t="str">
            <v>0132024101</v>
          </cell>
          <cell r="M289">
            <v>20</v>
          </cell>
          <cell r="N289">
            <v>21</v>
          </cell>
          <cell r="O289">
            <v>3020000</v>
          </cell>
          <cell r="P289">
            <v>500000</v>
          </cell>
          <cell r="Q289">
            <v>0</v>
          </cell>
          <cell r="R289">
            <v>3520000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135000</v>
          </cell>
          <cell r="X289">
            <v>0</v>
          </cell>
          <cell r="Y289">
            <v>140800</v>
          </cell>
          <cell r="Z289">
            <v>159808</v>
          </cell>
          <cell r="AA289">
            <v>70400</v>
          </cell>
          <cell r="AC289">
            <v>3655000</v>
          </cell>
          <cell r="AD289">
            <v>35200</v>
          </cell>
          <cell r="AE289">
            <v>70400</v>
          </cell>
          <cell r="AF289">
            <v>35200</v>
          </cell>
          <cell r="AG289">
            <v>0</v>
          </cell>
          <cell r="AH289">
            <v>0</v>
          </cell>
          <cell r="AI289">
            <v>0</v>
          </cell>
        </row>
        <row r="290">
          <cell r="B290" t="str">
            <v>02-0224-008</v>
          </cell>
          <cell r="C290" t="str">
            <v>Mona Joan Emerald Simon</v>
          </cell>
          <cell r="D290" t="str">
            <v>Kontrak</v>
          </cell>
          <cell r="E290" t="str">
            <v>Aktif</v>
          </cell>
          <cell r="G290">
            <v>13</v>
          </cell>
          <cell r="H290" t="str">
            <v>Sales</v>
          </cell>
          <cell r="I290" t="str">
            <v>Edutainment</v>
          </cell>
          <cell r="J290" t="str">
            <v>Sales Edutainment officer</v>
          </cell>
          <cell r="K290" t="str">
            <v>Officer</v>
          </cell>
          <cell r="L290" t="str">
            <v>0990314969</v>
          </cell>
          <cell r="M290">
            <v>19</v>
          </cell>
          <cell r="N290">
            <v>21</v>
          </cell>
          <cell r="O290">
            <v>3150000</v>
          </cell>
          <cell r="P290">
            <v>500000</v>
          </cell>
          <cell r="Q290">
            <v>0</v>
          </cell>
          <cell r="R290">
            <v>3650000</v>
          </cell>
          <cell r="S290">
            <v>0</v>
          </cell>
          <cell r="T290">
            <v>0</v>
          </cell>
          <cell r="U290">
            <v>100000</v>
          </cell>
          <cell r="V290">
            <v>0</v>
          </cell>
          <cell r="W290">
            <v>0</v>
          </cell>
          <cell r="X290">
            <v>0</v>
          </cell>
          <cell r="Y290">
            <v>146000</v>
          </cell>
          <cell r="Z290">
            <v>165710</v>
          </cell>
          <cell r="AA290">
            <v>73000</v>
          </cell>
          <cell r="AC290">
            <v>3750000</v>
          </cell>
          <cell r="AD290">
            <v>36500</v>
          </cell>
          <cell r="AE290">
            <v>73000</v>
          </cell>
          <cell r="AF290">
            <v>36500</v>
          </cell>
          <cell r="AG290">
            <v>0</v>
          </cell>
          <cell r="AH290">
            <v>0</v>
          </cell>
          <cell r="AI290">
            <v>0</v>
          </cell>
        </row>
        <row r="291">
          <cell r="B291" t="str">
            <v>02-0224-009</v>
          </cell>
          <cell r="C291" t="str">
            <v>Alfa Gani Rifani</v>
          </cell>
          <cell r="D291" t="str">
            <v>Kontrak</v>
          </cell>
          <cell r="E291" t="str">
            <v>Aktif</v>
          </cell>
          <cell r="G291">
            <v>13</v>
          </cell>
          <cell r="H291" t="str">
            <v>Sales</v>
          </cell>
          <cell r="I291" t="str">
            <v>Coorporate</v>
          </cell>
          <cell r="J291" t="str">
            <v>Sales cooporate officer</v>
          </cell>
          <cell r="K291" t="str">
            <v>Officer</v>
          </cell>
          <cell r="L291" t="str">
            <v>0131287967</v>
          </cell>
          <cell r="M291">
            <v>19</v>
          </cell>
          <cell r="N291">
            <v>21</v>
          </cell>
          <cell r="O291">
            <v>3150000</v>
          </cell>
          <cell r="P291">
            <v>500000</v>
          </cell>
          <cell r="Q291">
            <v>0</v>
          </cell>
          <cell r="R291">
            <v>3650000</v>
          </cell>
          <cell r="S291">
            <v>0</v>
          </cell>
          <cell r="T291">
            <v>0</v>
          </cell>
          <cell r="U291">
            <v>100000</v>
          </cell>
          <cell r="V291">
            <v>0</v>
          </cell>
          <cell r="W291">
            <v>0</v>
          </cell>
          <cell r="X291">
            <v>0</v>
          </cell>
          <cell r="Y291">
            <v>146000</v>
          </cell>
          <cell r="Z291">
            <v>165710</v>
          </cell>
          <cell r="AA291">
            <v>73000</v>
          </cell>
          <cell r="AC291">
            <v>3750000</v>
          </cell>
          <cell r="AD291">
            <v>36500</v>
          </cell>
          <cell r="AE291">
            <v>73000</v>
          </cell>
          <cell r="AF291">
            <v>36500</v>
          </cell>
          <cell r="AG291">
            <v>0</v>
          </cell>
          <cell r="AH291">
            <v>0</v>
          </cell>
          <cell r="AI291">
            <v>0</v>
          </cell>
        </row>
        <row r="292">
          <cell r="B292" t="str">
            <v>02-0224-010</v>
          </cell>
          <cell r="C292" t="str">
            <v>Aditya Gusti Pratama</v>
          </cell>
          <cell r="D292" t="str">
            <v>Kontrak</v>
          </cell>
          <cell r="E292" t="str">
            <v>Aktif</v>
          </cell>
          <cell r="G292">
            <v>13</v>
          </cell>
          <cell r="H292" t="str">
            <v>Inpark Revenue</v>
          </cell>
          <cell r="I292" t="str">
            <v>Inpark Revenue Operational</v>
          </cell>
          <cell r="J292" t="str">
            <v>Inpark Revenue Operational Crew</v>
          </cell>
          <cell r="K292" t="str">
            <v>Crew</v>
          </cell>
          <cell r="L292" t="str">
            <v>4452205088</v>
          </cell>
          <cell r="M292">
            <v>21</v>
          </cell>
          <cell r="N292">
            <v>25</v>
          </cell>
          <cell r="O292">
            <v>2750136</v>
          </cell>
          <cell r="P292">
            <v>0</v>
          </cell>
          <cell r="Q292">
            <v>0</v>
          </cell>
          <cell r="R292">
            <v>2750136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110005</v>
          </cell>
          <cell r="Z292">
            <v>124856</v>
          </cell>
          <cell r="AA292">
            <v>55003</v>
          </cell>
          <cell r="AC292">
            <v>2750136</v>
          </cell>
          <cell r="AD292">
            <v>27501</v>
          </cell>
          <cell r="AE292">
            <v>55003</v>
          </cell>
          <cell r="AF292">
            <v>27501</v>
          </cell>
          <cell r="AG292">
            <v>0</v>
          </cell>
          <cell r="AH292">
            <v>0</v>
          </cell>
          <cell r="AI292">
            <v>0</v>
          </cell>
        </row>
        <row r="293">
          <cell r="B293" t="str">
            <v>02-0224-012</v>
          </cell>
          <cell r="C293" t="str">
            <v>Laila Fathia Zulfiani</v>
          </cell>
          <cell r="D293" t="str">
            <v>Kontrak</v>
          </cell>
          <cell r="E293" t="str">
            <v>Aktif</v>
          </cell>
          <cell r="G293">
            <v>13</v>
          </cell>
          <cell r="H293" t="str">
            <v>Marketing &amp; Partenership</v>
          </cell>
          <cell r="I293" t="str">
            <v>Marketing Communication</v>
          </cell>
          <cell r="J293" t="str">
            <v xml:space="preserve">Graphic Design </v>
          </cell>
          <cell r="K293" t="str">
            <v>Officer</v>
          </cell>
          <cell r="L293" t="str">
            <v>1800848420</v>
          </cell>
          <cell r="M293">
            <v>19</v>
          </cell>
          <cell r="N293">
            <v>21</v>
          </cell>
          <cell r="O293">
            <v>3675000</v>
          </cell>
          <cell r="P293">
            <v>500000</v>
          </cell>
          <cell r="Q293">
            <v>0</v>
          </cell>
          <cell r="R293">
            <v>4175000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167000</v>
          </cell>
          <cell r="Z293">
            <v>189545</v>
          </cell>
          <cell r="AA293">
            <v>83500</v>
          </cell>
          <cell r="AC293">
            <v>4175000</v>
          </cell>
          <cell r="AD293">
            <v>41750</v>
          </cell>
          <cell r="AE293">
            <v>83500</v>
          </cell>
          <cell r="AF293">
            <v>41750</v>
          </cell>
          <cell r="AG293">
            <v>0</v>
          </cell>
          <cell r="AH293">
            <v>0</v>
          </cell>
          <cell r="AI293">
            <v>0</v>
          </cell>
        </row>
        <row r="294">
          <cell r="B294" t="str">
            <v>02-0224-013</v>
          </cell>
          <cell r="C294" t="str">
            <v>Vicky J R Pesulima</v>
          </cell>
          <cell r="D294" t="str">
            <v>Kontrak</v>
          </cell>
          <cell r="E294" t="str">
            <v>Aktif</v>
          </cell>
          <cell r="G294">
            <v>13</v>
          </cell>
          <cell r="H294" t="str">
            <v>Marketing &amp; Partenership</v>
          </cell>
          <cell r="I294" t="str">
            <v>Marketing Communication</v>
          </cell>
          <cell r="J294" t="str">
            <v xml:space="preserve">Graphic Design </v>
          </cell>
          <cell r="K294" t="str">
            <v>Officer</v>
          </cell>
          <cell r="L294" t="str">
            <v>1960483606</v>
          </cell>
          <cell r="M294">
            <v>19</v>
          </cell>
          <cell r="N294">
            <v>21</v>
          </cell>
          <cell r="O294">
            <v>3150000</v>
          </cell>
          <cell r="P294">
            <v>500000</v>
          </cell>
          <cell r="Q294">
            <v>0</v>
          </cell>
          <cell r="R294">
            <v>3650000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146000</v>
          </cell>
          <cell r="Z294">
            <v>165710</v>
          </cell>
          <cell r="AA294">
            <v>73000</v>
          </cell>
          <cell r="AC294">
            <v>3650000</v>
          </cell>
          <cell r="AD294">
            <v>36500</v>
          </cell>
          <cell r="AE294">
            <v>73000</v>
          </cell>
          <cell r="AF294">
            <v>36500</v>
          </cell>
          <cell r="AG294">
            <v>0</v>
          </cell>
          <cell r="AH294">
            <v>0</v>
          </cell>
          <cell r="AI294">
            <v>0</v>
          </cell>
        </row>
        <row r="295">
          <cell r="B295" t="str">
            <v>02-0324-015</v>
          </cell>
          <cell r="C295" t="str">
            <v>Hawa Nania Syafa</v>
          </cell>
          <cell r="D295" t="str">
            <v>Kontrak</v>
          </cell>
          <cell r="E295" t="str">
            <v>Aktif</v>
          </cell>
          <cell r="G295">
            <v>12</v>
          </cell>
          <cell r="H295" t="str">
            <v>Operation</v>
          </cell>
          <cell r="I295" t="str">
            <v>Operation</v>
          </cell>
          <cell r="J295" t="str">
            <v>Operation Crew</v>
          </cell>
          <cell r="K295" t="str">
            <v>Crew</v>
          </cell>
          <cell r="L295" t="str">
            <v>3201191457</v>
          </cell>
          <cell r="M295">
            <v>21</v>
          </cell>
          <cell r="N295">
            <v>25</v>
          </cell>
          <cell r="O295">
            <v>2750136</v>
          </cell>
          <cell r="P295">
            <v>0</v>
          </cell>
          <cell r="Q295">
            <v>0</v>
          </cell>
          <cell r="R295">
            <v>2750136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110005</v>
          </cell>
          <cell r="Z295">
            <v>124856</v>
          </cell>
          <cell r="AA295">
            <v>55003</v>
          </cell>
          <cell r="AC295">
            <v>2750136</v>
          </cell>
          <cell r="AD295">
            <v>27501</v>
          </cell>
          <cell r="AE295">
            <v>55003</v>
          </cell>
          <cell r="AF295">
            <v>27501</v>
          </cell>
          <cell r="AG295">
            <v>0</v>
          </cell>
          <cell r="AH295">
            <v>0</v>
          </cell>
          <cell r="AI295">
            <v>0</v>
          </cell>
        </row>
        <row r="296">
          <cell r="B296" t="str">
            <v>02-0324-016</v>
          </cell>
          <cell r="C296" t="str">
            <v>Anton Sulistiyo</v>
          </cell>
          <cell r="D296" t="str">
            <v>Kontrak</v>
          </cell>
          <cell r="E296" t="str">
            <v>Aktif</v>
          </cell>
          <cell r="G296">
            <v>12</v>
          </cell>
          <cell r="H296" t="str">
            <v>Maintenance</v>
          </cell>
          <cell r="I296" t="str">
            <v>Maintenance</v>
          </cell>
          <cell r="J296" t="str">
            <v>ME Crew</v>
          </cell>
          <cell r="K296" t="str">
            <v>Crew</v>
          </cell>
          <cell r="L296" t="str">
            <v>3201143398</v>
          </cell>
          <cell r="M296">
            <v>22</v>
          </cell>
          <cell r="N296">
            <v>25</v>
          </cell>
          <cell r="O296">
            <v>2750136</v>
          </cell>
          <cell r="P296">
            <v>0</v>
          </cell>
          <cell r="Q296">
            <v>0</v>
          </cell>
          <cell r="R296">
            <v>2750136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110005</v>
          </cell>
          <cell r="Z296">
            <v>124856</v>
          </cell>
          <cell r="AA296">
            <v>55003</v>
          </cell>
          <cell r="AC296">
            <v>2750136</v>
          </cell>
          <cell r="AD296">
            <v>27501</v>
          </cell>
          <cell r="AE296">
            <v>55003</v>
          </cell>
          <cell r="AF296">
            <v>27501</v>
          </cell>
          <cell r="AG296">
            <v>0</v>
          </cell>
          <cell r="AH296">
            <v>0</v>
          </cell>
          <cell r="AI296">
            <v>0</v>
          </cell>
        </row>
        <row r="297">
          <cell r="B297" t="str">
            <v>02-0324-017</v>
          </cell>
          <cell r="C297" t="str">
            <v>Nia Andriani</v>
          </cell>
          <cell r="D297" t="str">
            <v>Kontrak</v>
          </cell>
          <cell r="E297" t="str">
            <v>Aktif</v>
          </cell>
          <cell r="G297">
            <v>12</v>
          </cell>
          <cell r="H297" t="str">
            <v>Inpark Revenue</v>
          </cell>
          <cell r="I297" t="str">
            <v>Inpark Revenue Operational</v>
          </cell>
          <cell r="J297" t="str">
            <v>Inpark Revenue Operational Crew</v>
          </cell>
          <cell r="K297" t="str">
            <v>Crew</v>
          </cell>
          <cell r="L297" t="str">
            <v>3201147041</v>
          </cell>
          <cell r="M297">
            <v>22</v>
          </cell>
          <cell r="N297">
            <v>25</v>
          </cell>
          <cell r="O297">
            <v>2750136</v>
          </cell>
          <cell r="P297">
            <v>0</v>
          </cell>
          <cell r="Q297">
            <v>0</v>
          </cell>
          <cell r="R297">
            <v>2750136</v>
          </cell>
          <cell r="S297">
            <v>0</v>
          </cell>
          <cell r="T297">
            <v>0</v>
          </cell>
          <cell r="U297">
            <v>0</v>
          </cell>
          <cell r="V297">
            <v>55639</v>
          </cell>
          <cell r="W297">
            <v>0</v>
          </cell>
          <cell r="X297">
            <v>0</v>
          </cell>
          <cell r="Y297">
            <v>110005</v>
          </cell>
          <cell r="Z297">
            <v>124856</v>
          </cell>
          <cell r="AA297">
            <v>55003</v>
          </cell>
          <cell r="AC297">
            <v>2805775</v>
          </cell>
          <cell r="AD297">
            <v>27501</v>
          </cell>
          <cell r="AE297">
            <v>55003</v>
          </cell>
          <cell r="AF297">
            <v>27501</v>
          </cell>
          <cell r="AG297">
            <v>0</v>
          </cell>
          <cell r="AH297">
            <v>0</v>
          </cell>
          <cell r="AI297">
            <v>0</v>
          </cell>
        </row>
        <row r="298">
          <cell r="B298" t="str">
            <v>02-0324-018</v>
          </cell>
          <cell r="C298" t="str">
            <v>Widi Hari Rohmanto</v>
          </cell>
          <cell r="D298" t="str">
            <v>Kontrak</v>
          </cell>
          <cell r="E298" t="str">
            <v>Aktif</v>
          </cell>
          <cell r="G298">
            <v>12</v>
          </cell>
          <cell r="H298" t="str">
            <v>Inpark Revenue</v>
          </cell>
          <cell r="I298" t="str">
            <v>Inpark Revenue Operational</v>
          </cell>
          <cell r="J298" t="str">
            <v>Inpark Revenue Operational Crew</v>
          </cell>
          <cell r="K298" t="str">
            <v>Crew</v>
          </cell>
          <cell r="L298" t="str">
            <v>2220801899</v>
          </cell>
          <cell r="M298">
            <v>20</v>
          </cell>
          <cell r="N298">
            <v>25</v>
          </cell>
          <cell r="O298">
            <v>2750136</v>
          </cell>
          <cell r="P298">
            <v>0</v>
          </cell>
          <cell r="Q298">
            <v>0</v>
          </cell>
          <cell r="R298">
            <v>2750136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110005</v>
          </cell>
          <cell r="Z298">
            <v>124856</v>
          </cell>
          <cell r="AA298">
            <v>55003</v>
          </cell>
          <cell r="AC298">
            <v>2750136</v>
          </cell>
          <cell r="AD298">
            <v>27501</v>
          </cell>
          <cell r="AE298">
            <v>55003</v>
          </cell>
          <cell r="AF298">
            <v>27501</v>
          </cell>
          <cell r="AG298">
            <v>0</v>
          </cell>
          <cell r="AH298">
            <v>0</v>
          </cell>
          <cell r="AI298">
            <v>0</v>
          </cell>
        </row>
        <row r="299">
          <cell r="B299" t="str">
            <v>02-0324-019</v>
          </cell>
          <cell r="C299" t="str">
            <v>Clarisa Octaviani Putri</v>
          </cell>
          <cell r="D299" t="str">
            <v>Kontrak</v>
          </cell>
          <cell r="E299" t="str">
            <v>Aktif</v>
          </cell>
          <cell r="G299">
            <v>12</v>
          </cell>
          <cell r="H299" t="str">
            <v>Inpark Revenue</v>
          </cell>
          <cell r="I299" t="str">
            <v>Inpark Revenue Operational</v>
          </cell>
          <cell r="J299" t="str">
            <v>Inpark Revenue Operational Crew</v>
          </cell>
          <cell r="K299" t="str">
            <v>Crew</v>
          </cell>
          <cell r="L299" t="str">
            <v>0131851561</v>
          </cell>
          <cell r="M299">
            <v>21</v>
          </cell>
          <cell r="N299">
            <v>25</v>
          </cell>
          <cell r="O299">
            <v>2750136</v>
          </cell>
          <cell r="P299">
            <v>0</v>
          </cell>
          <cell r="Q299">
            <v>0</v>
          </cell>
          <cell r="R299">
            <v>2750136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110005</v>
          </cell>
          <cell r="Z299">
            <v>124856</v>
          </cell>
          <cell r="AA299">
            <v>55003</v>
          </cell>
          <cell r="AC299">
            <v>2750136</v>
          </cell>
          <cell r="AD299">
            <v>27501</v>
          </cell>
          <cell r="AE299">
            <v>55003</v>
          </cell>
          <cell r="AF299">
            <v>27501</v>
          </cell>
          <cell r="AG299">
            <v>0</v>
          </cell>
          <cell r="AH299">
            <v>0</v>
          </cell>
          <cell r="AI299">
            <v>0</v>
          </cell>
        </row>
        <row r="300">
          <cell r="B300" t="str">
            <v>02-0424-022</v>
          </cell>
          <cell r="C300" t="str">
            <v>Karina Elita Puti</v>
          </cell>
          <cell r="D300" t="str">
            <v>Kontrak</v>
          </cell>
          <cell r="E300" t="str">
            <v>Aktif</v>
          </cell>
          <cell r="G300">
            <v>11</v>
          </cell>
          <cell r="H300" t="str">
            <v>Finance &amp; Accounting</v>
          </cell>
          <cell r="I300" t="str">
            <v>Accounting</v>
          </cell>
          <cell r="J300" t="str">
            <v>Accounting &amp; Tax Officer</v>
          </cell>
          <cell r="K300" t="str">
            <v>Officer</v>
          </cell>
          <cell r="L300" t="str">
            <v>3600471341</v>
          </cell>
          <cell r="M300">
            <v>17</v>
          </cell>
          <cell r="N300">
            <v>21</v>
          </cell>
          <cell r="O300">
            <v>3000000</v>
          </cell>
          <cell r="P300">
            <v>0</v>
          </cell>
          <cell r="Q300">
            <v>0</v>
          </cell>
          <cell r="R300">
            <v>3000000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120000</v>
          </cell>
          <cell r="Z300">
            <v>136200</v>
          </cell>
          <cell r="AA300">
            <v>60000</v>
          </cell>
          <cell r="AC300">
            <v>3000000</v>
          </cell>
          <cell r="AD300">
            <v>30000</v>
          </cell>
          <cell r="AE300">
            <v>60000</v>
          </cell>
          <cell r="AF300">
            <v>30000</v>
          </cell>
          <cell r="AG300">
            <v>0</v>
          </cell>
          <cell r="AH300">
            <v>0</v>
          </cell>
          <cell r="AI300">
            <v>0</v>
          </cell>
        </row>
        <row r="301">
          <cell r="B301" t="str">
            <v>02-0524-025</v>
          </cell>
          <cell r="C301" t="str">
            <v>Rizal Priambodo</v>
          </cell>
          <cell r="D301" t="str">
            <v>Kontrak</v>
          </cell>
          <cell r="E301" t="str">
            <v>Aktif</v>
          </cell>
          <cell r="G301">
            <v>10</v>
          </cell>
          <cell r="H301" t="str">
            <v>Maintenance</v>
          </cell>
          <cell r="I301" t="str">
            <v>Maintenance</v>
          </cell>
          <cell r="J301" t="str">
            <v>ME Crew</v>
          </cell>
          <cell r="K301" t="str">
            <v>Crew</v>
          </cell>
          <cell r="L301" t="str">
            <v>0131485882</v>
          </cell>
          <cell r="M301">
            <v>20</v>
          </cell>
          <cell r="N301">
            <v>25</v>
          </cell>
          <cell r="O301">
            <v>2750136</v>
          </cell>
          <cell r="P301">
            <v>0</v>
          </cell>
          <cell r="Q301">
            <v>0</v>
          </cell>
          <cell r="R301">
            <v>2750136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110005</v>
          </cell>
          <cell r="Z301">
            <v>124856</v>
          </cell>
          <cell r="AA301">
            <v>55003</v>
          </cell>
          <cell r="AC301">
            <v>2750136</v>
          </cell>
          <cell r="AD301">
            <v>27501</v>
          </cell>
          <cell r="AE301">
            <v>55003</v>
          </cell>
          <cell r="AF301">
            <v>27501</v>
          </cell>
          <cell r="AG301">
            <v>0</v>
          </cell>
          <cell r="AH301">
            <v>0</v>
          </cell>
          <cell r="AI301">
            <v>0</v>
          </cell>
        </row>
        <row r="302">
          <cell r="B302" t="str">
            <v>02-0524-026</v>
          </cell>
          <cell r="C302" t="str">
            <v>Rokhmatulloh</v>
          </cell>
          <cell r="D302" t="str">
            <v>Kontrak</v>
          </cell>
          <cell r="E302" t="str">
            <v>Aktif</v>
          </cell>
          <cell r="G302">
            <v>10</v>
          </cell>
          <cell r="H302" t="str">
            <v>Operation</v>
          </cell>
          <cell r="I302" t="str">
            <v>Operation</v>
          </cell>
          <cell r="J302" t="str">
            <v>Operation Crew</v>
          </cell>
          <cell r="K302" t="str">
            <v>Crew</v>
          </cell>
          <cell r="L302" t="str">
            <v>1222119493</v>
          </cell>
          <cell r="M302">
            <v>22</v>
          </cell>
          <cell r="N302">
            <v>25</v>
          </cell>
          <cell r="O302">
            <v>2750136</v>
          </cell>
          <cell r="P302">
            <v>0</v>
          </cell>
          <cell r="Q302">
            <v>0</v>
          </cell>
          <cell r="R302">
            <v>2750136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110005</v>
          </cell>
          <cell r="Z302">
            <v>124856</v>
          </cell>
          <cell r="AA302">
            <v>55003</v>
          </cell>
          <cell r="AC302">
            <v>2750136</v>
          </cell>
          <cell r="AD302">
            <v>27501</v>
          </cell>
          <cell r="AE302">
            <v>55003</v>
          </cell>
          <cell r="AF302">
            <v>27501</v>
          </cell>
          <cell r="AG302">
            <v>0</v>
          </cell>
          <cell r="AH302">
            <v>0</v>
          </cell>
          <cell r="AI302">
            <v>0</v>
          </cell>
        </row>
        <row r="303">
          <cell r="B303" t="str">
            <v>02-0524-027</v>
          </cell>
          <cell r="C303" t="str">
            <v>Fariz Nur Fallah</v>
          </cell>
          <cell r="D303" t="str">
            <v>Kontrak</v>
          </cell>
          <cell r="E303" t="str">
            <v>Aktif</v>
          </cell>
          <cell r="G303">
            <v>10</v>
          </cell>
          <cell r="H303" t="str">
            <v>Inpark Revenue</v>
          </cell>
          <cell r="I303" t="str">
            <v>Inpark Revenue Operational</v>
          </cell>
          <cell r="J303" t="str">
            <v>Inpark Revenue Operational Crew</v>
          </cell>
          <cell r="K303" t="str">
            <v>Crew</v>
          </cell>
          <cell r="L303" t="str">
            <v>0132280787</v>
          </cell>
          <cell r="M303">
            <v>22</v>
          </cell>
          <cell r="N303">
            <v>25</v>
          </cell>
          <cell r="O303">
            <v>2750136</v>
          </cell>
          <cell r="P303">
            <v>0</v>
          </cell>
          <cell r="Q303">
            <v>0</v>
          </cell>
          <cell r="R303">
            <v>2750136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110005</v>
          </cell>
          <cell r="Z303">
            <v>124856</v>
          </cell>
          <cell r="AA303">
            <v>55003</v>
          </cell>
          <cell r="AC303">
            <v>2750136</v>
          </cell>
          <cell r="AD303">
            <v>27501</v>
          </cell>
          <cell r="AE303">
            <v>55003</v>
          </cell>
          <cell r="AF303">
            <v>27501</v>
          </cell>
          <cell r="AG303">
            <v>0</v>
          </cell>
          <cell r="AH303">
            <v>0</v>
          </cell>
          <cell r="AI303">
            <v>0</v>
          </cell>
        </row>
        <row r="304">
          <cell r="B304" t="str">
            <v>02-0524-028</v>
          </cell>
          <cell r="C304" t="str">
            <v>Rio Pratama</v>
          </cell>
          <cell r="D304" t="str">
            <v>Kontrak</v>
          </cell>
          <cell r="E304" t="str">
            <v>Aktif</v>
          </cell>
          <cell r="G304">
            <v>10</v>
          </cell>
          <cell r="H304" t="str">
            <v>Inpark Revenue</v>
          </cell>
          <cell r="I304" t="str">
            <v>Inpark Revenue Operational</v>
          </cell>
          <cell r="J304" t="str">
            <v>Inpark Revenue Operational Crew</v>
          </cell>
          <cell r="K304" t="str">
            <v>Crew</v>
          </cell>
          <cell r="L304" t="str">
            <v>3201168773</v>
          </cell>
          <cell r="M304">
            <v>21</v>
          </cell>
          <cell r="N304">
            <v>25</v>
          </cell>
          <cell r="O304">
            <v>2750136</v>
          </cell>
          <cell r="P304">
            <v>0</v>
          </cell>
          <cell r="Q304">
            <v>0</v>
          </cell>
          <cell r="R304">
            <v>2750136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110005</v>
          </cell>
          <cell r="Z304">
            <v>124856</v>
          </cell>
          <cell r="AA304">
            <v>55003</v>
          </cell>
          <cell r="AC304">
            <v>2750136</v>
          </cell>
          <cell r="AD304">
            <v>27501</v>
          </cell>
          <cell r="AE304">
            <v>55003</v>
          </cell>
          <cell r="AF304">
            <v>27501</v>
          </cell>
          <cell r="AG304">
            <v>0</v>
          </cell>
          <cell r="AH304">
            <v>0</v>
          </cell>
          <cell r="AI304">
            <v>0</v>
          </cell>
        </row>
        <row r="305">
          <cell r="B305" t="str">
            <v>02-0524-029</v>
          </cell>
          <cell r="C305" t="str">
            <v>Valentino Wahyudi Agung</v>
          </cell>
          <cell r="D305" t="str">
            <v>Kontrak</v>
          </cell>
          <cell r="E305" t="str">
            <v>Aktif</v>
          </cell>
          <cell r="G305">
            <v>10</v>
          </cell>
          <cell r="H305" t="str">
            <v>Inpark Revenue</v>
          </cell>
          <cell r="I305" t="str">
            <v>Inpark Revenue Operational</v>
          </cell>
          <cell r="J305" t="str">
            <v>Inpark Revenue Operational Crew</v>
          </cell>
          <cell r="K305" t="str">
            <v>Crew</v>
          </cell>
          <cell r="L305" t="str">
            <v>0131928385</v>
          </cell>
          <cell r="M305">
            <v>22</v>
          </cell>
          <cell r="N305">
            <v>25</v>
          </cell>
          <cell r="O305">
            <v>2750136</v>
          </cell>
          <cell r="P305">
            <v>0</v>
          </cell>
          <cell r="Q305">
            <v>0</v>
          </cell>
          <cell r="R305">
            <v>2750136</v>
          </cell>
          <cell r="S305">
            <v>0</v>
          </cell>
          <cell r="T305">
            <v>0</v>
          </cell>
          <cell r="U305">
            <v>0</v>
          </cell>
          <cell r="V305">
            <v>55639</v>
          </cell>
          <cell r="W305">
            <v>0</v>
          </cell>
          <cell r="X305">
            <v>0</v>
          </cell>
          <cell r="Y305">
            <v>110005</v>
          </cell>
          <cell r="Z305">
            <v>124856</v>
          </cell>
          <cell r="AA305">
            <v>55003</v>
          </cell>
          <cell r="AC305">
            <v>2805775</v>
          </cell>
          <cell r="AD305">
            <v>27501</v>
          </cell>
          <cell r="AE305">
            <v>55003</v>
          </cell>
          <cell r="AF305">
            <v>27501</v>
          </cell>
          <cell r="AG305">
            <v>0</v>
          </cell>
          <cell r="AH305">
            <v>0</v>
          </cell>
          <cell r="AI305">
            <v>0</v>
          </cell>
        </row>
        <row r="306">
          <cell r="B306" t="str">
            <v>02-0524-030</v>
          </cell>
          <cell r="C306" t="str">
            <v>Berliana Alda Mawarni</v>
          </cell>
          <cell r="D306" t="str">
            <v>Kontrak</v>
          </cell>
          <cell r="E306" t="str">
            <v>Aktif</v>
          </cell>
          <cell r="G306">
            <v>10</v>
          </cell>
          <cell r="H306" t="str">
            <v>Inpark Revenue</v>
          </cell>
          <cell r="I306" t="str">
            <v>Partnership &amp; Support</v>
          </cell>
          <cell r="J306" t="str">
            <v>Partnership &amp; Support Admin</v>
          </cell>
          <cell r="K306" t="str">
            <v>Crew</v>
          </cell>
          <cell r="L306" t="str">
            <v>0132283743</v>
          </cell>
          <cell r="M306">
            <v>18</v>
          </cell>
          <cell r="N306">
            <v>21</v>
          </cell>
          <cell r="O306">
            <v>2750136</v>
          </cell>
          <cell r="P306">
            <v>0</v>
          </cell>
          <cell r="Q306">
            <v>0</v>
          </cell>
          <cell r="R306">
            <v>2750136</v>
          </cell>
          <cell r="S306">
            <v>0</v>
          </cell>
          <cell r="T306">
            <v>0</v>
          </cell>
          <cell r="U306">
            <v>0</v>
          </cell>
          <cell r="V306">
            <v>55639</v>
          </cell>
          <cell r="W306">
            <v>0</v>
          </cell>
          <cell r="X306">
            <v>0</v>
          </cell>
          <cell r="Y306">
            <v>110005</v>
          </cell>
          <cell r="Z306">
            <v>124856</v>
          </cell>
          <cell r="AA306">
            <v>55003</v>
          </cell>
          <cell r="AC306">
            <v>2805775</v>
          </cell>
          <cell r="AD306">
            <v>27501</v>
          </cell>
          <cell r="AE306">
            <v>55003</v>
          </cell>
          <cell r="AF306">
            <v>27501</v>
          </cell>
          <cell r="AG306">
            <v>0</v>
          </cell>
          <cell r="AH306">
            <v>0</v>
          </cell>
          <cell r="AI306">
            <v>0</v>
          </cell>
        </row>
        <row r="307">
          <cell r="B307" t="str">
            <v>02-0624-031</v>
          </cell>
          <cell r="C307" t="str">
            <v>Desi Ardian Sukma Handayani</v>
          </cell>
          <cell r="D307" t="str">
            <v>Kontrak</v>
          </cell>
          <cell r="E307" t="str">
            <v>Aktif</v>
          </cell>
          <cell r="G307">
            <v>9</v>
          </cell>
          <cell r="H307" t="str">
            <v>Inpark Revenue</v>
          </cell>
          <cell r="I307" t="str">
            <v>Partnership &amp; Support</v>
          </cell>
          <cell r="J307" t="str">
            <v>Partnership &amp; Support Admin</v>
          </cell>
          <cell r="K307" t="str">
            <v>Crew</v>
          </cell>
          <cell r="L307" t="str">
            <v>0131901797</v>
          </cell>
          <cell r="M307">
            <v>19</v>
          </cell>
          <cell r="N307">
            <v>21</v>
          </cell>
          <cell r="O307">
            <v>2750136</v>
          </cell>
          <cell r="P307">
            <v>0</v>
          </cell>
          <cell r="Q307">
            <v>0</v>
          </cell>
          <cell r="R307">
            <v>2750136</v>
          </cell>
          <cell r="S307">
            <v>0</v>
          </cell>
          <cell r="T307">
            <v>0</v>
          </cell>
          <cell r="U307">
            <v>0</v>
          </cell>
          <cell r="V307">
            <v>55639</v>
          </cell>
          <cell r="W307">
            <v>0</v>
          </cell>
          <cell r="X307">
            <v>0</v>
          </cell>
          <cell r="Y307">
            <v>110005</v>
          </cell>
          <cell r="Z307">
            <v>124856</v>
          </cell>
          <cell r="AA307">
            <v>55003</v>
          </cell>
          <cell r="AC307">
            <v>2805775</v>
          </cell>
          <cell r="AD307">
            <v>27501</v>
          </cell>
          <cell r="AE307">
            <v>55003</v>
          </cell>
          <cell r="AF307">
            <v>27501</v>
          </cell>
          <cell r="AG307">
            <v>0</v>
          </cell>
          <cell r="AH307">
            <v>0</v>
          </cell>
          <cell r="AI307">
            <v>0</v>
          </cell>
        </row>
        <row r="308">
          <cell r="B308" t="str">
            <v>02-0624-032</v>
          </cell>
          <cell r="C308" t="str">
            <v>Sri Purwani</v>
          </cell>
          <cell r="D308" t="str">
            <v>Kontrak</v>
          </cell>
          <cell r="E308" t="str">
            <v>Aktif</v>
          </cell>
          <cell r="G308">
            <v>9</v>
          </cell>
          <cell r="H308" t="str">
            <v>Operation</v>
          </cell>
          <cell r="I308" t="str">
            <v>Operation</v>
          </cell>
          <cell r="J308" t="str">
            <v>Angon Ingon Admin</v>
          </cell>
          <cell r="K308" t="str">
            <v>Crew</v>
          </cell>
          <cell r="L308" t="str">
            <v>0131406206</v>
          </cell>
          <cell r="M308">
            <v>14</v>
          </cell>
          <cell r="N308">
            <v>21</v>
          </cell>
          <cell r="O308">
            <v>2750136</v>
          </cell>
          <cell r="P308">
            <v>0</v>
          </cell>
          <cell r="Q308">
            <v>0</v>
          </cell>
          <cell r="R308">
            <v>2750136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110005</v>
          </cell>
          <cell r="Z308">
            <v>124856</v>
          </cell>
          <cell r="AA308">
            <v>55003</v>
          </cell>
          <cell r="AC308">
            <v>2750136</v>
          </cell>
          <cell r="AD308">
            <v>27501</v>
          </cell>
          <cell r="AE308">
            <v>55003</v>
          </cell>
          <cell r="AF308">
            <v>27501</v>
          </cell>
          <cell r="AG308">
            <v>0</v>
          </cell>
          <cell r="AH308">
            <v>0</v>
          </cell>
          <cell r="AI308">
            <v>0</v>
          </cell>
        </row>
        <row r="309">
          <cell r="B309" t="str">
            <v>02-0624-033</v>
          </cell>
          <cell r="C309" t="str">
            <v>Bagus Hamka Purnomo</v>
          </cell>
          <cell r="D309" t="str">
            <v>Kontrak</v>
          </cell>
          <cell r="E309" t="str">
            <v>Aktif</v>
          </cell>
          <cell r="G309">
            <v>9</v>
          </cell>
          <cell r="H309" t="str">
            <v>Inpark Revenue</v>
          </cell>
          <cell r="I309" t="str">
            <v>Inpark Revenue Operational</v>
          </cell>
          <cell r="J309" t="str">
            <v>Inpark Revenue Operational Crew</v>
          </cell>
          <cell r="K309" t="str">
            <v>Crew</v>
          </cell>
          <cell r="L309" t="str">
            <v>2221032472</v>
          </cell>
          <cell r="M309">
            <v>23</v>
          </cell>
          <cell r="N309">
            <v>25</v>
          </cell>
          <cell r="O309">
            <v>2750136</v>
          </cell>
          <cell r="P309">
            <v>0</v>
          </cell>
          <cell r="Q309">
            <v>0</v>
          </cell>
          <cell r="R309">
            <v>2750136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110005</v>
          </cell>
          <cell r="Z309">
            <v>124856</v>
          </cell>
          <cell r="AA309">
            <v>55003</v>
          </cell>
          <cell r="AC309">
            <v>2750136</v>
          </cell>
          <cell r="AD309">
            <v>27501</v>
          </cell>
          <cell r="AE309">
            <v>55003</v>
          </cell>
          <cell r="AF309">
            <v>27501</v>
          </cell>
          <cell r="AG309">
            <v>0</v>
          </cell>
          <cell r="AH309">
            <v>0</v>
          </cell>
          <cell r="AI309">
            <v>0</v>
          </cell>
        </row>
        <row r="310">
          <cell r="B310" t="str">
            <v>02-0624-034</v>
          </cell>
          <cell r="C310" t="str">
            <v>Istiqomah</v>
          </cell>
          <cell r="D310" t="str">
            <v>Kontrak</v>
          </cell>
          <cell r="E310" t="str">
            <v>Aktif</v>
          </cell>
          <cell r="G310">
            <v>9</v>
          </cell>
          <cell r="H310" t="str">
            <v>Operation</v>
          </cell>
          <cell r="I310" t="str">
            <v>Operation</v>
          </cell>
          <cell r="J310" t="str">
            <v>Operation Crew</v>
          </cell>
          <cell r="K310" t="str">
            <v>Crew</v>
          </cell>
          <cell r="L310" t="str">
            <v>3200834215</v>
          </cell>
          <cell r="M310">
            <v>22</v>
          </cell>
          <cell r="N310">
            <v>25</v>
          </cell>
          <cell r="O310">
            <v>2750136</v>
          </cell>
          <cell r="P310">
            <v>0</v>
          </cell>
          <cell r="Q310">
            <v>0</v>
          </cell>
          <cell r="R310">
            <v>2750136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110005</v>
          </cell>
          <cell r="Z310">
            <v>124856</v>
          </cell>
          <cell r="AA310">
            <v>55003</v>
          </cell>
          <cell r="AC310">
            <v>2750136</v>
          </cell>
          <cell r="AD310">
            <v>27501</v>
          </cell>
          <cell r="AE310">
            <v>55003</v>
          </cell>
          <cell r="AF310">
            <v>27501</v>
          </cell>
          <cell r="AG310">
            <v>0</v>
          </cell>
          <cell r="AH310">
            <v>0</v>
          </cell>
          <cell r="AI310">
            <v>0</v>
          </cell>
        </row>
        <row r="311">
          <cell r="B311" t="str">
            <v>02-0624-035</v>
          </cell>
          <cell r="C311" t="str">
            <v>Agil Bagaskara</v>
          </cell>
          <cell r="D311" t="str">
            <v>Kontrak</v>
          </cell>
          <cell r="E311" t="str">
            <v>Aktif</v>
          </cell>
          <cell r="G311">
            <v>9</v>
          </cell>
          <cell r="H311" t="str">
            <v>Inpark Revenue</v>
          </cell>
          <cell r="I311" t="str">
            <v>Inpark Revenue Operational</v>
          </cell>
          <cell r="J311" t="str">
            <v>Inpark Revenue Operational Crew</v>
          </cell>
          <cell r="K311" t="str">
            <v>Crew</v>
          </cell>
          <cell r="L311" t="str">
            <v>5845032600</v>
          </cell>
          <cell r="M311">
            <v>21</v>
          </cell>
          <cell r="N311">
            <v>25</v>
          </cell>
          <cell r="O311">
            <v>2750136</v>
          </cell>
          <cell r="P311">
            <v>0</v>
          </cell>
          <cell r="Q311">
            <v>0</v>
          </cell>
          <cell r="R311">
            <v>2750136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110005</v>
          </cell>
          <cell r="Z311">
            <v>124856</v>
          </cell>
          <cell r="AA311">
            <v>55003</v>
          </cell>
          <cell r="AC311">
            <v>2750136</v>
          </cell>
          <cell r="AD311">
            <v>27501</v>
          </cell>
          <cell r="AE311">
            <v>55003</v>
          </cell>
          <cell r="AF311">
            <v>27501</v>
          </cell>
          <cell r="AG311">
            <v>0</v>
          </cell>
          <cell r="AH311">
            <v>0</v>
          </cell>
          <cell r="AI311">
            <v>0</v>
          </cell>
        </row>
        <row r="312">
          <cell r="B312" t="str">
            <v>02-0624-036</v>
          </cell>
          <cell r="C312" t="str">
            <v>Tubagus Fudyantama</v>
          </cell>
          <cell r="D312" t="str">
            <v>Kontrak</v>
          </cell>
          <cell r="E312" t="str">
            <v>Aktif</v>
          </cell>
          <cell r="G312">
            <v>9</v>
          </cell>
          <cell r="H312" t="str">
            <v>Inpark Revenue</v>
          </cell>
          <cell r="I312" t="str">
            <v>FB Product</v>
          </cell>
          <cell r="J312" t="str">
            <v>Dishwasher</v>
          </cell>
          <cell r="K312" t="str">
            <v>Crew</v>
          </cell>
          <cell r="L312" t="str">
            <v>3201187646</v>
          </cell>
          <cell r="M312">
            <v>21</v>
          </cell>
          <cell r="N312">
            <v>25</v>
          </cell>
          <cell r="O312">
            <v>2750136</v>
          </cell>
          <cell r="P312">
            <v>0</v>
          </cell>
          <cell r="Q312">
            <v>0</v>
          </cell>
          <cell r="R312">
            <v>2750136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110005</v>
          </cell>
          <cell r="Z312">
            <v>124856</v>
          </cell>
          <cell r="AA312">
            <v>55003</v>
          </cell>
          <cell r="AC312">
            <v>2750136</v>
          </cell>
          <cell r="AD312">
            <v>27501</v>
          </cell>
          <cell r="AE312">
            <v>55003</v>
          </cell>
          <cell r="AF312">
            <v>27501</v>
          </cell>
          <cell r="AG312">
            <v>0</v>
          </cell>
          <cell r="AH312">
            <v>0</v>
          </cell>
          <cell r="AI312">
            <v>0</v>
          </cell>
        </row>
        <row r="313">
          <cell r="B313" t="str">
            <v>02-0824-037</v>
          </cell>
          <cell r="C313" t="str">
            <v>Taufik Anggara</v>
          </cell>
          <cell r="D313" t="str">
            <v>Kontrak</v>
          </cell>
          <cell r="E313" t="str">
            <v>Aktif</v>
          </cell>
          <cell r="G313">
            <v>7</v>
          </cell>
          <cell r="H313" t="str">
            <v>Operation</v>
          </cell>
          <cell r="I313" t="str">
            <v>Cleaning &amp; Security</v>
          </cell>
          <cell r="J313" t="str">
            <v>Security</v>
          </cell>
          <cell r="K313" t="str">
            <v>Crew</v>
          </cell>
          <cell r="L313" t="str">
            <v>3201213353</v>
          </cell>
          <cell r="M313">
            <v>20</v>
          </cell>
          <cell r="N313">
            <v>25</v>
          </cell>
          <cell r="O313">
            <v>2750136</v>
          </cell>
          <cell r="P313">
            <v>0</v>
          </cell>
          <cell r="Q313">
            <v>0</v>
          </cell>
          <cell r="R313">
            <v>2750136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110005</v>
          </cell>
          <cell r="Z313">
            <v>124856</v>
          </cell>
          <cell r="AA313">
            <v>55003</v>
          </cell>
          <cell r="AC313">
            <v>2750136</v>
          </cell>
          <cell r="AD313">
            <v>27501</v>
          </cell>
          <cell r="AE313">
            <v>55003</v>
          </cell>
          <cell r="AF313">
            <v>27501</v>
          </cell>
          <cell r="AG313">
            <v>0</v>
          </cell>
          <cell r="AH313">
            <v>0</v>
          </cell>
          <cell r="AI313">
            <v>0</v>
          </cell>
        </row>
        <row r="314">
          <cell r="B314" t="str">
            <v>02-0824-038</v>
          </cell>
          <cell r="C314" t="str">
            <v>David Satriyo</v>
          </cell>
          <cell r="D314" t="str">
            <v>Kontrak</v>
          </cell>
          <cell r="E314" t="str">
            <v>Aktif</v>
          </cell>
          <cell r="G314">
            <v>7</v>
          </cell>
          <cell r="H314" t="str">
            <v>Operation</v>
          </cell>
          <cell r="I314" t="str">
            <v>Cleaning &amp; Security</v>
          </cell>
          <cell r="J314" t="str">
            <v>Security</v>
          </cell>
          <cell r="K314" t="str">
            <v>Crew</v>
          </cell>
          <cell r="L314" t="str">
            <v>3200959751</v>
          </cell>
          <cell r="M314">
            <v>22</v>
          </cell>
          <cell r="N314">
            <v>25</v>
          </cell>
          <cell r="O314">
            <v>2750136</v>
          </cell>
          <cell r="P314">
            <v>0</v>
          </cell>
          <cell r="Q314">
            <v>0</v>
          </cell>
          <cell r="R314">
            <v>2750136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110005</v>
          </cell>
          <cell r="Z314">
            <v>124856</v>
          </cell>
          <cell r="AA314">
            <v>55003</v>
          </cell>
          <cell r="AC314">
            <v>2750136</v>
          </cell>
          <cell r="AD314">
            <v>27501</v>
          </cell>
          <cell r="AE314">
            <v>55003</v>
          </cell>
          <cell r="AF314">
            <v>27501</v>
          </cell>
          <cell r="AG314">
            <v>0</v>
          </cell>
          <cell r="AH314">
            <v>0</v>
          </cell>
          <cell r="AI314">
            <v>0</v>
          </cell>
        </row>
        <row r="315">
          <cell r="B315" t="str">
            <v>02-0824-039</v>
          </cell>
          <cell r="C315" t="str">
            <v>Muhammad Jovanka Alvian</v>
          </cell>
          <cell r="D315" t="str">
            <v>Kontrak</v>
          </cell>
          <cell r="E315" t="str">
            <v>Aktif</v>
          </cell>
          <cell r="G315">
            <v>7</v>
          </cell>
          <cell r="H315" t="str">
            <v>Maintenance</v>
          </cell>
          <cell r="I315" t="str">
            <v>Landscape &amp; Environment</v>
          </cell>
          <cell r="J315" t="str">
            <v>Landscape Crew</v>
          </cell>
          <cell r="K315" t="str">
            <v>Crew</v>
          </cell>
          <cell r="L315" t="str">
            <v>0132324504</v>
          </cell>
          <cell r="M315">
            <v>22</v>
          </cell>
          <cell r="N315">
            <v>25</v>
          </cell>
          <cell r="O315">
            <v>2750136</v>
          </cell>
          <cell r="P315">
            <v>0</v>
          </cell>
          <cell r="Q315">
            <v>0</v>
          </cell>
          <cell r="R315">
            <v>2750136</v>
          </cell>
          <cell r="S315">
            <v>0</v>
          </cell>
          <cell r="T315">
            <v>0</v>
          </cell>
          <cell r="U315">
            <v>0</v>
          </cell>
          <cell r="V315">
            <v>238452</v>
          </cell>
          <cell r="W315">
            <v>0</v>
          </cell>
          <cell r="X315">
            <v>0</v>
          </cell>
          <cell r="Y315">
            <v>110005</v>
          </cell>
          <cell r="Z315">
            <v>124856</v>
          </cell>
          <cell r="AA315">
            <v>55003</v>
          </cell>
          <cell r="AC315">
            <v>2988588</v>
          </cell>
          <cell r="AD315">
            <v>27501</v>
          </cell>
          <cell r="AE315">
            <v>55003</v>
          </cell>
          <cell r="AF315">
            <v>27501</v>
          </cell>
          <cell r="AG315">
            <v>0</v>
          </cell>
          <cell r="AH315">
            <v>0</v>
          </cell>
          <cell r="AI315">
            <v>0</v>
          </cell>
        </row>
        <row r="316">
          <cell r="B316" t="str">
            <v>02-0824-040</v>
          </cell>
          <cell r="C316" t="str">
            <v>Eko Prasetyo</v>
          </cell>
          <cell r="D316" t="str">
            <v>Kontrak</v>
          </cell>
          <cell r="E316" t="str">
            <v>Aktif</v>
          </cell>
          <cell r="G316">
            <v>7</v>
          </cell>
          <cell r="H316" t="str">
            <v>Maintenance</v>
          </cell>
          <cell r="I316" t="str">
            <v>Landscape &amp; Environment</v>
          </cell>
          <cell r="J316" t="str">
            <v>Landscape Crew</v>
          </cell>
          <cell r="K316" t="str">
            <v>Crew</v>
          </cell>
          <cell r="L316" t="str">
            <v>0132325853</v>
          </cell>
          <cell r="M316">
            <v>21</v>
          </cell>
          <cell r="N316">
            <v>25</v>
          </cell>
          <cell r="O316">
            <v>2750136</v>
          </cell>
          <cell r="P316">
            <v>0</v>
          </cell>
          <cell r="Q316">
            <v>0</v>
          </cell>
          <cell r="R316">
            <v>2750136</v>
          </cell>
          <cell r="S316">
            <v>0</v>
          </cell>
          <cell r="T316">
            <v>0</v>
          </cell>
          <cell r="U316">
            <v>0</v>
          </cell>
          <cell r="V316">
            <v>119226</v>
          </cell>
          <cell r="W316">
            <v>0</v>
          </cell>
          <cell r="X316">
            <v>0</v>
          </cell>
          <cell r="Y316">
            <v>110005</v>
          </cell>
          <cell r="Z316">
            <v>124856</v>
          </cell>
          <cell r="AA316">
            <v>55003</v>
          </cell>
          <cell r="AC316">
            <v>2869362</v>
          </cell>
          <cell r="AD316">
            <v>27501</v>
          </cell>
          <cell r="AE316">
            <v>55003</v>
          </cell>
          <cell r="AF316">
            <v>27501</v>
          </cell>
          <cell r="AG316">
            <v>0</v>
          </cell>
          <cell r="AH316">
            <v>0</v>
          </cell>
          <cell r="AI316">
            <v>0</v>
          </cell>
        </row>
        <row r="317">
          <cell r="B317" t="str">
            <v>02-0824-041</v>
          </cell>
          <cell r="C317" t="str">
            <v>Affifudin Hidayatullah</v>
          </cell>
          <cell r="D317" t="str">
            <v>Kontrak</v>
          </cell>
          <cell r="E317" t="str">
            <v>Aktif</v>
          </cell>
          <cell r="G317">
            <v>7</v>
          </cell>
          <cell r="H317" t="str">
            <v>Maintenance</v>
          </cell>
          <cell r="I317" t="str">
            <v>Landscape &amp; Environment</v>
          </cell>
          <cell r="J317" t="str">
            <v>Landscape Crew</v>
          </cell>
          <cell r="K317" t="str">
            <v>Crew</v>
          </cell>
          <cell r="L317" t="str">
            <v>0132326761</v>
          </cell>
          <cell r="M317">
            <v>22</v>
          </cell>
          <cell r="N317">
            <v>25</v>
          </cell>
          <cell r="O317">
            <v>2750136</v>
          </cell>
          <cell r="P317">
            <v>0</v>
          </cell>
          <cell r="Q317">
            <v>0</v>
          </cell>
          <cell r="R317">
            <v>2750136</v>
          </cell>
          <cell r="S317">
            <v>0</v>
          </cell>
          <cell r="T317">
            <v>0</v>
          </cell>
          <cell r="U317">
            <v>0</v>
          </cell>
          <cell r="V317">
            <v>238452</v>
          </cell>
          <cell r="W317">
            <v>0</v>
          </cell>
          <cell r="X317">
            <v>0</v>
          </cell>
          <cell r="Y317">
            <v>110005</v>
          </cell>
          <cell r="Z317">
            <v>124856</v>
          </cell>
          <cell r="AA317">
            <v>55003</v>
          </cell>
          <cell r="AC317">
            <v>2988588</v>
          </cell>
          <cell r="AD317">
            <v>27501</v>
          </cell>
          <cell r="AE317">
            <v>55003</v>
          </cell>
          <cell r="AF317">
            <v>27501</v>
          </cell>
          <cell r="AG317">
            <v>0</v>
          </cell>
          <cell r="AH317">
            <v>0</v>
          </cell>
          <cell r="AI317">
            <v>0</v>
          </cell>
        </row>
        <row r="318">
          <cell r="B318" t="str">
            <v>02-0824-042</v>
          </cell>
          <cell r="C318" t="str">
            <v>Joko Prihatin Rahayu</v>
          </cell>
          <cell r="D318" t="str">
            <v>Kontrak</v>
          </cell>
          <cell r="E318" t="str">
            <v>Aktif</v>
          </cell>
          <cell r="G318">
            <v>7</v>
          </cell>
          <cell r="H318" t="str">
            <v>Maintenance</v>
          </cell>
          <cell r="I318" t="str">
            <v>Landscape &amp; Environment</v>
          </cell>
          <cell r="J318" t="str">
            <v>Landscape Crew</v>
          </cell>
          <cell r="K318" t="str">
            <v>Crew</v>
          </cell>
          <cell r="L318" t="str">
            <v>0132327333</v>
          </cell>
          <cell r="M318">
            <v>20</v>
          </cell>
          <cell r="N318">
            <v>25</v>
          </cell>
          <cell r="O318">
            <v>2750136</v>
          </cell>
          <cell r="P318">
            <v>0</v>
          </cell>
          <cell r="Q318">
            <v>0</v>
          </cell>
          <cell r="R318">
            <v>2750136</v>
          </cell>
          <cell r="S318">
            <v>0</v>
          </cell>
          <cell r="T318">
            <v>0</v>
          </cell>
          <cell r="U318">
            <v>0</v>
          </cell>
          <cell r="V318">
            <v>119226</v>
          </cell>
          <cell r="W318">
            <v>0</v>
          </cell>
          <cell r="X318">
            <v>0</v>
          </cell>
          <cell r="Y318">
            <v>110005</v>
          </cell>
          <cell r="Z318">
            <v>124856</v>
          </cell>
          <cell r="AA318">
            <v>55003</v>
          </cell>
          <cell r="AC318">
            <v>2869362</v>
          </cell>
          <cell r="AD318">
            <v>27501</v>
          </cell>
          <cell r="AE318">
            <v>55003</v>
          </cell>
          <cell r="AF318">
            <v>27501</v>
          </cell>
          <cell r="AG318">
            <v>0</v>
          </cell>
          <cell r="AH318">
            <v>0</v>
          </cell>
          <cell r="AI318">
            <v>0</v>
          </cell>
        </row>
        <row r="319">
          <cell r="B319" t="str">
            <v>02-0824-043</v>
          </cell>
          <cell r="C319" t="str">
            <v>Fendi Sukmariyanto</v>
          </cell>
          <cell r="D319" t="str">
            <v>Kontrak</v>
          </cell>
          <cell r="E319" t="str">
            <v>Aktif</v>
          </cell>
          <cell r="G319">
            <v>7</v>
          </cell>
          <cell r="H319" t="str">
            <v>Operation</v>
          </cell>
          <cell r="I319" t="str">
            <v>Operation</v>
          </cell>
          <cell r="J319" t="str">
            <v>Angon Ingon Crew</v>
          </cell>
          <cell r="K319" t="str">
            <v>Crew</v>
          </cell>
          <cell r="L319" t="str">
            <v>8038033623</v>
          </cell>
          <cell r="M319">
            <v>24</v>
          </cell>
          <cell r="N319">
            <v>25</v>
          </cell>
          <cell r="O319">
            <v>2750136</v>
          </cell>
          <cell r="P319">
            <v>0</v>
          </cell>
          <cell r="Q319">
            <v>0</v>
          </cell>
          <cell r="R319">
            <v>2750136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110005</v>
          </cell>
          <cell r="Z319">
            <v>124856</v>
          </cell>
          <cell r="AA319">
            <v>55003</v>
          </cell>
          <cell r="AC319">
            <v>2750136</v>
          </cell>
          <cell r="AD319">
            <v>27501</v>
          </cell>
          <cell r="AE319">
            <v>55003</v>
          </cell>
          <cell r="AF319">
            <v>27501</v>
          </cell>
          <cell r="AG319">
            <v>0</v>
          </cell>
          <cell r="AH319">
            <v>0</v>
          </cell>
          <cell r="AI319">
            <v>0</v>
          </cell>
        </row>
        <row r="320">
          <cell r="B320" t="str">
            <v>02-0824-044</v>
          </cell>
          <cell r="C320" t="str">
            <v>Diki Wahyu Saputro</v>
          </cell>
          <cell r="D320" t="str">
            <v>Kontrak</v>
          </cell>
          <cell r="E320" t="str">
            <v>Aktif</v>
          </cell>
          <cell r="G320">
            <v>7</v>
          </cell>
          <cell r="H320" t="str">
            <v>Operation</v>
          </cell>
          <cell r="I320" t="str">
            <v>Operation</v>
          </cell>
          <cell r="J320" t="str">
            <v>Angon Ingon Crew</v>
          </cell>
          <cell r="K320" t="str">
            <v>Crew</v>
          </cell>
          <cell r="L320" t="str">
            <v>8038033631</v>
          </cell>
          <cell r="M320">
            <v>22</v>
          </cell>
          <cell r="N320">
            <v>25</v>
          </cell>
          <cell r="O320">
            <v>2750136</v>
          </cell>
          <cell r="P320">
            <v>0</v>
          </cell>
          <cell r="Q320">
            <v>0</v>
          </cell>
          <cell r="R320">
            <v>2750136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110005</v>
          </cell>
          <cell r="Z320">
            <v>124856</v>
          </cell>
          <cell r="AA320">
            <v>55003</v>
          </cell>
          <cell r="AC320">
            <v>2750136</v>
          </cell>
          <cell r="AD320">
            <v>27501</v>
          </cell>
          <cell r="AE320">
            <v>55003</v>
          </cell>
          <cell r="AF320">
            <v>27501</v>
          </cell>
          <cell r="AG320">
            <v>0</v>
          </cell>
          <cell r="AH320">
            <v>0</v>
          </cell>
          <cell r="AI320">
            <v>0</v>
          </cell>
        </row>
        <row r="321">
          <cell r="B321" t="str">
            <v>02-0824-045</v>
          </cell>
          <cell r="C321" t="str">
            <v>Umar Ma'ruf</v>
          </cell>
          <cell r="D321" t="str">
            <v>Kontrak</v>
          </cell>
          <cell r="E321" t="str">
            <v>Aktif</v>
          </cell>
          <cell r="G321">
            <v>7</v>
          </cell>
          <cell r="H321" t="str">
            <v>Operation</v>
          </cell>
          <cell r="I321" t="str">
            <v>Operation</v>
          </cell>
          <cell r="J321" t="str">
            <v>Operation Crew</v>
          </cell>
          <cell r="K321" t="str">
            <v>Crew</v>
          </cell>
          <cell r="L321" t="str">
            <v>3201161540</v>
          </cell>
          <cell r="M321">
            <v>22</v>
          </cell>
          <cell r="N321">
            <v>25</v>
          </cell>
          <cell r="O321">
            <v>2750136</v>
          </cell>
          <cell r="P321">
            <v>0</v>
          </cell>
          <cell r="Q321">
            <v>0</v>
          </cell>
          <cell r="R321">
            <v>2750136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110005</v>
          </cell>
          <cell r="Z321">
            <v>124856</v>
          </cell>
          <cell r="AA321">
            <v>55003</v>
          </cell>
          <cell r="AC321">
            <v>2750136</v>
          </cell>
          <cell r="AD321">
            <v>27501</v>
          </cell>
          <cell r="AE321">
            <v>55003</v>
          </cell>
          <cell r="AF321">
            <v>27501</v>
          </cell>
          <cell r="AG321">
            <v>0</v>
          </cell>
          <cell r="AH321">
            <v>0</v>
          </cell>
          <cell r="AI321">
            <v>0</v>
          </cell>
        </row>
        <row r="322">
          <cell r="B322" t="str">
            <v>02-0824-046</v>
          </cell>
          <cell r="C322" t="str">
            <v>Citra Aurelia Putri</v>
          </cell>
          <cell r="D322" t="str">
            <v>Kontrak</v>
          </cell>
          <cell r="E322" t="str">
            <v>Aktif</v>
          </cell>
          <cell r="G322">
            <v>7</v>
          </cell>
          <cell r="H322" t="str">
            <v>Operation</v>
          </cell>
          <cell r="I322" t="str">
            <v>Operation</v>
          </cell>
          <cell r="J322" t="str">
            <v>Operation Crew</v>
          </cell>
          <cell r="K322" t="str">
            <v>Crew</v>
          </cell>
          <cell r="L322" t="str">
            <v>0131445481</v>
          </cell>
          <cell r="M322">
            <v>21</v>
          </cell>
          <cell r="N322">
            <v>25</v>
          </cell>
          <cell r="O322">
            <v>2750136</v>
          </cell>
          <cell r="P322">
            <v>0</v>
          </cell>
          <cell r="Q322">
            <v>0</v>
          </cell>
          <cell r="R322">
            <v>2750136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110005</v>
          </cell>
          <cell r="Z322">
            <v>124856</v>
          </cell>
          <cell r="AA322">
            <v>55003</v>
          </cell>
          <cell r="AC322">
            <v>2750136</v>
          </cell>
          <cell r="AD322">
            <v>27501</v>
          </cell>
          <cell r="AE322">
            <v>55003</v>
          </cell>
          <cell r="AF322">
            <v>27501</v>
          </cell>
          <cell r="AG322">
            <v>0</v>
          </cell>
          <cell r="AH322">
            <v>0</v>
          </cell>
          <cell r="AI322">
            <v>0</v>
          </cell>
        </row>
        <row r="323">
          <cell r="B323" t="str">
            <v>02-0924-047</v>
          </cell>
          <cell r="C323" t="str">
            <v>Krisyanto</v>
          </cell>
          <cell r="D323" t="str">
            <v>Kontrak</v>
          </cell>
          <cell r="E323" t="str">
            <v>Aktif</v>
          </cell>
          <cell r="G323">
            <v>6</v>
          </cell>
          <cell r="H323" t="str">
            <v>Maintenance</v>
          </cell>
          <cell r="I323" t="str">
            <v>Landscape &amp; Environment</v>
          </cell>
          <cell r="J323" t="str">
            <v>Landscape Crew</v>
          </cell>
          <cell r="K323" t="str">
            <v>Crew</v>
          </cell>
          <cell r="L323" t="str">
            <v>0132344661</v>
          </cell>
          <cell r="M323">
            <v>22</v>
          </cell>
          <cell r="N323">
            <v>25</v>
          </cell>
          <cell r="O323">
            <v>2750136</v>
          </cell>
          <cell r="P323">
            <v>0</v>
          </cell>
          <cell r="Q323">
            <v>0</v>
          </cell>
          <cell r="R323">
            <v>2750136</v>
          </cell>
          <cell r="S323">
            <v>0</v>
          </cell>
          <cell r="T323">
            <v>0</v>
          </cell>
          <cell r="U323">
            <v>0</v>
          </cell>
          <cell r="V323">
            <v>238452</v>
          </cell>
          <cell r="W323">
            <v>0</v>
          </cell>
          <cell r="X323">
            <v>0</v>
          </cell>
          <cell r="Y323">
            <v>110005</v>
          </cell>
          <cell r="Z323">
            <v>124856</v>
          </cell>
          <cell r="AA323">
            <v>55003</v>
          </cell>
          <cell r="AC323">
            <v>2988588</v>
          </cell>
          <cell r="AD323">
            <v>27501</v>
          </cell>
          <cell r="AE323">
            <v>55003</v>
          </cell>
          <cell r="AF323">
            <v>27501</v>
          </cell>
          <cell r="AG323">
            <v>0</v>
          </cell>
          <cell r="AH323">
            <v>0</v>
          </cell>
          <cell r="AI323">
            <v>0</v>
          </cell>
        </row>
        <row r="324">
          <cell r="B324" t="str">
            <v>02-1124-049</v>
          </cell>
          <cell r="C324" t="str">
            <v>Ailan Aprilia Agustina</v>
          </cell>
          <cell r="D324" t="str">
            <v>Kontrak</v>
          </cell>
          <cell r="E324" t="str">
            <v>Aktif</v>
          </cell>
          <cell r="G324">
            <v>4</v>
          </cell>
          <cell r="H324" t="str">
            <v>Inpark Revenue</v>
          </cell>
          <cell r="I324" t="str">
            <v>FB Product</v>
          </cell>
          <cell r="J324" t="str">
            <v>Cook Helper</v>
          </cell>
          <cell r="K324" t="str">
            <v>Crew</v>
          </cell>
          <cell r="L324" t="str">
            <v>0132346095</v>
          </cell>
          <cell r="M324">
            <v>21</v>
          </cell>
          <cell r="N324">
            <v>25</v>
          </cell>
          <cell r="O324">
            <v>2750136</v>
          </cell>
          <cell r="P324">
            <v>0</v>
          </cell>
          <cell r="Q324">
            <v>0</v>
          </cell>
          <cell r="R324">
            <v>2750136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110005</v>
          </cell>
          <cell r="Z324">
            <v>124856</v>
          </cell>
          <cell r="AA324">
            <v>55003</v>
          </cell>
          <cell r="AC324">
            <v>2750136</v>
          </cell>
          <cell r="AD324">
            <v>27501</v>
          </cell>
          <cell r="AE324">
            <v>55003</v>
          </cell>
          <cell r="AF324">
            <v>27501</v>
          </cell>
          <cell r="AG324">
            <v>0</v>
          </cell>
          <cell r="AH324">
            <v>0</v>
          </cell>
          <cell r="AI324">
            <v>0</v>
          </cell>
        </row>
        <row r="325">
          <cell r="B325" t="str">
            <v>02-1124-050</v>
          </cell>
          <cell r="C325" t="str">
            <v>Danu Widi Krismara</v>
          </cell>
          <cell r="D325" t="str">
            <v>Kontrak</v>
          </cell>
          <cell r="E325" t="str">
            <v>Aktif</v>
          </cell>
          <cell r="G325">
            <v>4</v>
          </cell>
          <cell r="H325" t="str">
            <v>Marketing &amp; Partenership</v>
          </cell>
          <cell r="I325" t="str">
            <v>Marketing Communication</v>
          </cell>
          <cell r="J325" t="str">
            <v>Marketing Communication SPV</v>
          </cell>
          <cell r="K325" t="str">
            <v>SPV</v>
          </cell>
          <cell r="L325" t="str">
            <v>7960667217</v>
          </cell>
          <cell r="M325">
            <v>19</v>
          </cell>
          <cell r="N325">
            <v>21</v>
          </cell>
          <cell r="O325">
            <v>8000000</v>
          </cell>
          <cell r="P325">
            <v>0</v>
          </cell>
          <cell r="Q325">
            <v>0</v>
          </cell>
          <cell r="R325">
            <v>8000000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320000</v>
          </cell>
          <cell r="Z325">
            <v>363200</v>
          </cell>
          <cell r="AA325">
            <v>160000</v>
          </cell>
          <cell r="AC325">
            <v>8000000</v>
          </cell>
          <cell r="AD325">
            <v>80000</v>
          </cell>
          <cell r="AE325">
            <v>160000</v>
          </cell>
          <cell r="AF325">
            <v>80000</v>
          </cell>
          <cell r="AG325">
            <v>0</v>
          </cell>
          <cell r="AH325">
            <v>0</v>
          </cell>
          <cell r="AI325">
            <v>0</v>
          </cell>
        </row>
        <row r="326">
          <cell r="B326" t="str">
            <v>02-1224-051</v>
          </cell>
          <cell r="C326" t="str">
            <v>Verence Rapita Indah</v>
          </cell>
          <cell r="D326" t="str">
            <v>Kontrak</v>
          </cell>
          <cell r="E326" t="str">
            <v>Aktif</v>
          </cell>
          <cell r="G326">
            <v>3</v>
          </cell>
          <cell r="H326" t="str">
            <v>Procurement &amp; GA</v>
          </cell>
          <cell r="I326" t="str">
            <v>GA</v>
          </cell>
          <cell r="J326" t="str">
            <v>Safety Officer</v>
          </cell>
          <cell r="K326" t="str">
            <v>Officer</v>
          </cell>
          <cell r="L326" t="str">
            <v>0154765413</v>
          </cell>
          <cell r="M326">
            <v>20</v>
          </cell>
          <cell r="N326">
            <v>21</v>
          </cell>
          <cell r="O326">
            <v>2800000</v>
          </cell>
          <cell r="P326">
            <v>0</v>
          </cell>
          <cell r="Q326">
            <v>0</v>
          </cell>
          <cell r="R326">
            <v>2800000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112000</v>
          </cell>
          <cell r="Z326">
            <v>127120</v>
          </cell>
          <cell r="AA326">
            <v>56000</v>
          </cell>
          <cell r="AC326">
            <v>2800000</v>
          </cell>
          <cell r="AD326">
            <v>28000</v>
          </cell>
          <cell r="AE326">
            <v>56000</v>
          </cell>
          <cell r="AF326">
            <v>28000</v>
          </cell>
          <cell r="AG326">
            <v>0</v>
          </cell>
          <cell r="AH326">
            <v>0</v>
          </cell>
          <cell r="AI326">
            <v>0</v>
          </cell>
        </row>
        <row r="327">
          <cell r="B327" t="str">
            <v>02-1224-052</v>
          </cell>
          <cell r="C327" t="str">
            <v>Andi Orsi Prabana</v>
          </cell>
          <cell r="D327" t="str">
            <v>Kontrak</v>
          </cell>
          <cell r="E327" t="str">
            <v>Aktif</v>
          </cell>
          <cell r="G327">
            <v>3</v>
          </cell>
          <cell r="H327" t="str">
            <v>Maintenance</v>
          </cell>
          <cell r="I327" t="str">
            <v>Civil &amp; Decoration</v>
          </cell>
          <cell r="J327" t="str">
            <v>Civil SPV</v>
          </cell>
          <cell r="K327" t="str">
            <v>SPV</v>
          </cell>
          <cell r="L327" t="str">
            <v>6281758257</v>
          </cell>
          <cell r="M327">
            <v>19</v>
          </cell>
          <cell r="N327">
            <v>21</v>
          </cell>
          <cell r="O327">
            <v>6800000</v>
          </cell>
          <cell r="P327">
            <v>0</v>
          </cell>
          <cell r="Q327">
            <v>0</v>
          </cell>
          <cell r="R327">
            <v>6800000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272000</v>
          </cell>
          <cell r="Z327">
            <v>308720</v>
          </cell>
          <cell r="AA327">
            <v>136000</v>
          </cell>
          <cell r="AC327">
            <v>6800000</v>
          </cell>
          <cell r="AD327">
            <v>68000</v>
          </cell>
          <cell r="AE327">
            <v>136000</v>
          </cell>
          <cell r="AF327">
            <v>68000</v>
          </cell>
          <cell r="AG327">
            <v>0</v>
          </cell>
          <cell r="AH327">
            <v>0</v>
          </cell>
          <cell r="AI327">
            <v>0</v>
          </cell>
        </row>
        <row r="328">
          <cell r="B328" t="str">
            <v>02-0125-001</v>
          </cell>
          <cell r="C328" t="str">
            <v>Nauval Pramodya Sakti Wiguna</v>
          </cell>
          <cell r="D328" t="str">
            <v>Kontrak</v>
          </cell>
          <cell r="E328" t="str">
            <v>Aktif</v>
          </cell>
          <cell r="G328">
            <v>2</v>
          </cell>
          <cell r="H328" t="str">
            <v>Sales</v>
          </cell>
          <cell r="I328" t="str">
            <v>Edutainment</v>
          </cell>
          <cell r="J328" t="str">
            <v>Sales Edutainment officer</v>
          </cell>
          <cell r="K328" t="str">
            <v>Officer</v>
          </cell>
          <cell r="L328" t="str">
            <v>3200863045</v>
          </cell>
          <cell r="M328">
            <v>19</v>
          </cell>
          <cell r="N328">
            <v>21</v>
          </cell>
          <cell r="O328">
            <v>3000000</v>
          </cell>
          <cell r="P328">
            <v>0</v>
          </cell>
          <cell r="Q328">
            <v>0</v>
          </cell>
          <cell r="R328">
            <v>3000000</v>
          </cell>
          <cell r="S328">
            <v>0</v>
          </cell>
          <cell r="T328">
            <v>0</v>
          </cell>
          <cell r="U328">
            <v>100000</v>
          </cell>
          <cell r="V328">
            <v>0</v>
          </cell>
          <cell r="W328">
            <v>0</v>
          </cell>
          <cell r="X328">
            <v>0</v>
          </cell>
          <cell r="Y328">
            <v>120000</v>
          </cell>
          <cell r="Z328">
            <v>136200</v>
          </cell>
          <cell r="AA328">
            <v>60000</v>
          </cell>
          <cell r="AC328">
            <v>3100000</v>
          </cell>
          <cell r="AD328">
            <v>30000</v>
          </cell>
          <cell r="AE328">
            <v>60000</v>
          </cell>
          <cell r="AF328">
            <v>30000</v>
          </cell>
          <cell r="AG328">
            <v>0</v>
          </cell>
          <cell r="AH328">
            <v>0</v>
          </cell>
          <cell r="AI328">
            <v>0</v>
          </cell>
        </row>
        <row r="329">
          <cell r="B329" t="str">
            <v>02-0125-002</v>
          </cell>
          <cell r="C329" t="str">
            <v>Ryan Nathan Aditama</v>
          </cell>
          <cell r="D329" t="str">
            <v>Kontrak</v>
          </cell>
          <cell r="E329" t="str">
            <v>Aktif</v>
          </cell>
          <cell r="G329">
            <v>2</v>
          </cell>
          <cell r="H329" t="str">
            <v>Inpark Revenue</v>
          </cell>
          <cell r="I329" t="str">
            <v>FB Product</v>
          </cell>
          <cell r="J329" t="str">
            <v>Distribusi Crew</v>
          </cell>
          <cell r="K329" t="str">
            <v>Crew</v>
          </cell>
          <cell r="L329" t="str">
            <v>0132353741</v>
          </cell>
          <cell r="M329">
            <v>23</v>
          </cell>
          <cell r="N329">
            <v>25</v>
          </cell>
          <cell r="O329">
            <v>2750136</v>
          </cell>
          <cell r="P329">
            <v>0</v>
          </cell>
          <cell r="Q329">
            <v>0</v>
          </cell>
          <cell r="R329">
            <v>2750136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110005</v>
          </cell>
          <cell r="Z329">
            <v>124856</v>
          </cell>
          <cell r="AA329">
            <v>55003</v>
          </cell>
          <cell r="AC329">
            <v>2750136</v>
          </cell>
          <cell r="AD329">
            <v>27501</v>
          </cell>
          <cell r="AE329">
            <v>55003</v>
          </cell>
          <cell r="AF329">
            <v>27501</v>
          </cell>
          <cell r="AG329">
            <v>0</v>
          </cell>
          <cell r="AH329">
            <v>0</v>
          </cell>
          <cell r="AI329">
            <v>0</v>
          </cell>
        </row>
        <row r="330">
          <cell r="B330" t="str">
            <v>02-0125-003</v>
          </cell>
          <cell r="C330" t="str">
            <v>Mia Sofiana</v>
          </cell>
          <cell r="D330" t="str">
            <v>Kontrak</v>
          </cell>
          <cell r="E330" t="str">
            <v>Aktif</v>
          </cell>
          <cell r="G330">
            <v>2</v>
          </cell>
          <cell r="H330" t="str">
            <v>Inpark Revenue</v>
          </cell>
          <cell r="I330" t="str">
            <v>Inpark Revenue Operational</v>
          </cell>
          <cell r="J330" t="str">
            <v>Inpark Revenue Operational Crew</v>
          </cell>
          <cell r="K330" t="str">
            <v>Crew</v>
          </cell>
          <cell r="L330" t="str">
            <v>0132412411</v>
          </cell>
          <cell r="M330">
            <v>22</v>
          </cell>
          <cell r="N330">
            <v>25</v>
          </cell>
          <cell r="O330">
            <v>2750136</v>
          </cell>
          <cell r="P330">
            <v>0</v>
          </cell>
          <cell r="Q330">
            <v>0</v>
          </cell>
          <cell r="R330">
            <v>2750136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110005</v>
          </cell>
          <cell r="Z330">
            <v>124856</v>
          </cell>
          <cell r="AA330">
            <v>55003</v>
          </cell>
          <cell r="AC330">
            <v>2750136</v>
          </cell>
          <cell r="AD330">
            <v>27501</v>
          </cell>
          <cell r="AE330">
            <v>55003</v>
          </cell>
          <cell r="AF330">
            <v>27501</v>
          </cell>
          <cell r="AG330">
            <v>0</v>
          </cell>
          <cell r="AH330">
            <v>0</v>
          </cell>
          <cell r="AI330">
            <v>0</v>
          </cell>
        </row>
        <row r="331">
          <cell r="B331" t="str">
            <v>02-0125-004</v>
          </cell>
          <cell r="C331" t="str">
            <v>Aula Mawarni</v>
          </cell>
          <cell r="D331" t="str">
            <v>Kontrak</v>
          </cell>
          <cell r="E331" t="str">
            <v>Aktif</v>
          </cell>
          <cell r="G331">
            <v>2</v>
          </cell>
          <cell r="H331" t="str">
            <v>Inpark Revenue</v>
          </cell>
          <cell r="I331" t="str">
            <v>Inpark Revenue Operational</v>
          </cell>
          <cell r="J331" t="str">
            <v>Inpark Revenue Operational Crew</v>
          </cell>
          <cell r="K331" t="str">
            <v>Crew</v>
          </cell>
          <cell r="L331" t="str">
            <v>0132411873</v>
          </cell>
          <cell r="M331">
            <v>23</v>
          </cell>
          <cell r="N331">
            <v>25</v>
          </cell>
          <cell r="O331">
            <v>2750136</v>
          </cell>
          <cell r="P331">
            <v>0</v>
          </cell>
          <cell r="Q331">
            <v>0</v>
          </cell>
          <cell r="R331">
            <v>2750136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110005</v>
          </cell>
          <cell r="Z331">
            <v>124856</v>
          </cell>
          <cell r="AA331">
            <v>55003</v>
          </cell>
          <cell r="AC331">
            <v>2750136</v>
          </cell>
          <cell r="AD331">
            <v>27501</v>
          </cell>
          <cell r="AE331">
            <v>55003</v>
          </cell>
          <cell r="AF331">
            <v>27501</v>
          </cell>
          <cell r="AG331">
            <v>0</v>
          </cell>
          <cell r="AH331">
            <v>0</v>
          </cell>
          <cell r="AI331">
            <v>0</v>
          </cell>
        </row>
        <row r="332">
          <cell r="B332" t="str">
            <v>02-0225-005</v>
          </cell>
          <cell r="C332" t="str">
            <v>Nomina Yusha Artahayest</v>
          </cell>
          <cell r="D332" t="str">
            <v>Kontrak</v>
          </cell>
          <cell r="E332" t="str">
            <v>Aktif</v>
          </cell>
          <cell r="G332">
            <v>1</v>
          </cell>
          <cell r="H332" t="str">
            <v>Sales</v>
          </cell>
          <cell r="I332" t="str">
            <v>Coorporate</v>
          </cell>
          <cell r="J332" t="str">
            <v>Sales Coorporate Officer</v>
          </cell>
          <cell r="K332" t="str">
            <v>Officer</v>
          </cell>
          <cell r="L332" t="str">
            <v>7850962779</v>
          </cell>
          <cell r="M332">
            <v>21</v>
          </cell>
          <cell r="N332">
            <v>21</v>
          </cell>
          <cell r="O332">
            <v>3250000</v>
          </cell>
          <cell r="P332">
            <v>0</v>
          </cell>
          <cell r="Q332">
            <v>0</v>
          </cell>
          <cell r="R332">
            <v>3250000</v>
          </cell>
          <cell r="S332">
            <v>0</v>
          </cell>
          <cell r="T332">
            <v>0</v>
          </cell>
          <cell r="U332">
            <v>100000</v>
          </cell>
          <cell r="V332">
            <v>0</v>
          </cell>
          <cell r="W332">
            <v>0</v>
          </cell>
          <cell r="X332">
            <v>0</v>
          </cell>
          <cell r="Y332">
            <v>130000</v>
          </cell>
          <cell r="Z332">
            <v>147550</v>
          </cell>
          <cell r="AA332">
            <v>65000</v>
          </cell>
          <cell r="AC332">
            <v>3350000</v>
          </cell>
          <cell r="AD332">
            <v>32500</v>
          </cell>
          <cell r="AE332">
            <v>65000</v>
          </cell>
          <cell r="AF332">
            <v>32500</v>
          </cell>
          <cell r="AG332">
            <v>0</v>
          </cell>
          <cell r="AH332">
            <v>0</v>
          </cell>
          <cell r="AI332">
            <v>0</v>
          </cell>
        </row>
        <row r="333">
          <cell r="B333" t="str">
            <v>02-0225-006</v>
          </cell>
          <cell r="C333" t="str">
            <v>Ahmad Akhyarul Umam</v>
          </cell>
          <cell r="D333" t="str">
            <v>Kontrak</v>
          </cell>
          <cell r="E333" t="str">
            <v>Aktif</v>
          </cell>
          <cell r="G333">
            <v>1</v>
          </cell>
          <cell r="H333" t="str">
            <v>Inpark Revenue</v>
          </cell>
          <cell r="I333" t="str">
            <v>Inpark Revenue Operation</v>
          </cell>
          <cell r="J333" t="str">
            <v>Inpark Revenue Operational Crew</v>
          </cell>
          <cell r="K333" t="str">
            <v>Crew</v>
          </cell>
          <cell r="L333" t="str">
            <v>0132411911</v>
          </cell>
          <cell r="M333">
            <v>23</v>
          </cell>
          <cell r="N333">
            <v>25</v>
          </cell>
          <cell r="O333">
            <v>2750136</v>
          </cell>
          <cell r="P333">
            <v>0</v>
          </cell>
          <cell r="Q333">
            <v>0</v>
          </cell>
          <cell r="R333">
            <v>2750136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110005</v>
          </cell>
          <cell r="Z333">
            <v>124856</v>
          </cell>
          <cell r="AA333">
            <v>55003</v>
          </cell>
          <cell r="AC333">
            <v>2750136</v>
          </cell>
          <cell r="AD333">
            <v>27501</v>
          </cell>
          <cell r="AE333">
            <v>55003</v>
          </cell>
          <cell r="AF333">
            <v>27501</v>
          </cell>
          <cell r="AG333">
            <v>0</v>
          </cell>
          <cell r="AH333">
            <v>0</v>
          </cell>
          <cell r="AI333">
            <v>0</v>
          </cell>
        </row>
        <row r="334">
          <cell r="B334" t="str">
            <v>02-0225-007</v>
          </cell>
          <cell r="C334" t="str">
            <v>Asil Tsamara Zain</v>
          </cell>
          <cell r="D334" t="str">
            <v>Kontrak</v>
          </cell>
          <cell r="E334" t="str">
            <v>Aktif</v>
          </cell>
          <cell r="G334">
            <v>1</v>
          </cell>
          <cell r="H334" t="str">
            <v>Finance &amp; Accounting</v>
          </cell>
          <cell r="I334" t="str">
            <v>Finance</v>
          </cell>
          <cell r="J334" t="str">
            <v>Cashier Ticketing</v>
          </cell>
          <cell r="K334" t="str">
            <v>Crew</v>
          </cell>
          <cell r="L334" t="str">
            <v>0132333660</v>
          </cell>
          <cell r="M334">
            <v>23</v>
          </cell>
          <cell r="N334">
            <v>25</v>
          </cell>
          <cell r="O334">
            <v>2750136</v>
          </cell>
          <cell r="P334">
            <v>0</v>
          </cell>
          <cell r="Q334">
            <v>0</v>
          </cell>
          <cell r="R334">
            <v>2750136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110005</v>
          </cell>
          <cell r="Z334">
            <v>124856</v>
          </cell>
          <cell r="AA334">
            <v>55003</v>
          </cell>
          <cell r="AC334">
            <v>2750136</v>
          </cell>
          <cell r="AD334">
            <v>27501</v>
          </cell>
          <cell r="AE334">
            <v>55003</v>
          </cell>
          <cell r="AF334">
            <v>27501</v>
          </cell>
          <cell r="AG334">
            <v>0</v>
          </cell>
          <cell r="AH334">
            <v>0</v>
          </cell>
          <cell r="AI334">
            <v>0</v>
          </cell>
        </row>
        <row r="335">
          <cell r="B335" t="str">
            <v>02-0225-008</v>
          </cell>
          <cell r="C335" t="str">
            <v>Maffa Denny Ariyanto</v>
          </cell>
          <cell r="D335" t="str">
            <v>Kontrak</v>
          </cell>
          <cell r="E335" t="str">
            <v>Aktif</v>
          </cell>
          <cell r="G335">
            <v>1</v>
          </cell>
          <cell r="H335" t="str">
            <v>Inpark Revenue</v>
          </cell>
          <cell r="I335" t="str">
            <v>Inpark Revenue Operation</v>
          </cell>
          <cell r="J335" t="str">
            <v>Inpark Revenue Operational Crew</v>
          </cell>
          <cell r="K335" t="str">
            <v>Crew</v>
          </cell>
          <cell r="L335" t="str">
            <v>3200853635</v>
          </cell>
          <cell r="M335">
            <v>23</v>
          </cell>
          <cell r="N335">
            <v>25</v>
          </cell>
          <cell r="O335">
            <v>2750136</v>
          </cell>
          <cell r="P335">
            <v>0</v>
          </cell>
          <cell r="Q335">
            <v>0</v>
          </cell>
          <cell r="R335">
            <v>2750136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110005</v>
          </cell>
          <cell r="Z335">
            <v>124856</v>
          </cell>
          <cell r="AA335">
            <v>55003</v>
          </cell>
          <cell r="AC335">
            <v>2750136</v>
          </cell>
          <cell r="AD335">
            <v>27501</v>
          </cell>
          <cell r="AE335">
            <v>55003</v>
          </cell>
          <cell r="AF335">
            <v>27501</v>
          </cell>
          <cell r="AG335">
            <v>0</v>
          </cell>
          <cell r="AH335">
            <v>0</v>
          </cell>
          <cell r="AI335">
            <v>0</v>
          </cell>
        </row>
        <row r="336">
          <cell r="B336" t="str">
            <v>02-0225-009</v>
          </cell>
          <cell r="C336" t="str">
            <v>Riska Ayu Saputri</v>
          </cell>
          <cell r="D336" t="str">
            <v>Kontrak</v>
          </cell>
          <cell r="E336" t="str">
            <v>Aktif</v>
          </cell>
          <cell r="G336">
            <v>1</v>
          </cell>
          <cell r="H336" t="str">
            <v>Operation</v>
          </cell>
          <cell r="I336" t="str">
            <v>Operation</v>
          </cell>
          <cell r="J336" t="str">
            <v>Operation Crew</v>
          </cell>
          <cell r="K336" t="str">
            <v>Crew</v>
          </cell>
          <cell r="L336" t="str">
            <v>3201289261</v>
          </cell>
          <cell r="M336">
            <v>24</v>
          </cell>
          <cell r="N336">
            <v>25</v>
          </cell>
          <cell r="O336">
            <v>2750136</v>
          </cell>
          <cell r="P336">
            <v>0</v>
          </cell>
          <cell r="Q336">
            <v>0</v>
          </cell>
          <cell r="R336">
            <v>2750136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110005</v>
          </cell>
          <cell r="Z336">
            <v>124856</v>
          </cell>
          <cell r="AA336">
            <v>55003</v>
          </cell>
          <cell r="AC336">
            <v>2750136</v>
          </cell>
          <cell r="AD336">
            <v>27501</v>
          </cell>
          <cell r="AE336">
            <v>55003</v>
          </cell>
          <cell r="AF336">
            <v>27501</v>
          </cell>
          <cell r="AG336">
            <v>0</v>
          </cell>
          <cell r="AH336">
            <v>0</v>
          </cell>
          <cell r="AI336">
            <v>0</v>
          </cell>
        </row>
        <row r="337">
          <cell r="B337" t="str">
            <v>02-0225-010</v>
          </cell>
          <cell r="C337" t="str">
            <v>Sudarmaji</v>
          </cell>
          <cell r="D337" t="str">
            <v>Kontrak</v>
          </cell>
          <cell r="E337" t="str">
            <v>Aktif</v>
          </cell>
          <cell r="G337">
            <v>1</v>
          </cell>
          <cell r="H337" t="str">
            <v>Maintenance</v>
          </cell>
          <cell r="I337" t="str">
            <v>Landscape &amp; Environment</v>
          </cell>
          <cell r="J337" t="str">
            <v>Pertanian</v>
          </cell>
          <cell r="K337" t="str">
            <v>Crew</v>
          </cell>
          <cell r="L337" t="str">
            <v>3201292571</v>
          </cell>
          <cell r="M337">
            <v>26</v>
          </cell>
          <cell r="N337">
            <v>25</v>
          </cell>
          <cell r="O337">
            <v>2750136</v>
          </cell>
          <cell r="P337">
            <v>0</v>
          </cell>
          <cell r="Q337">
            <v>0</v>
          </cell>
          <cell r="R337">
            <v>2750136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110005</v>
          </cell>
          <cell r="Z337">
            <v>124856</v>
          </cell>
          <cell r="AA337">
            <v>55003</v>
          </cell>
          <cell r="AC337">
            <v>2750136</v>
          </cell>
          <cell r="AD337">
            <v>27501</v>
          </cell>
          <cell r="AE337">
            <v>55003</v>
          </cell>
          <cell r="AF337">
            <v>27501</v>
          </cell>
          <cell r="AG337">
            <v>0</v>
          </cell>
          <cell r="AH337">
            <v>0</v>
          </cell>
          <cell r="AI337">
            <v>0</v>
          </cell>
        </row>
        <row r="338">
          <cell r="B338" t="str">
            <v>02-0325-011</v>
          </cell>
          <cell r="C338" t="str">
            <v>Rizki Levran Pandensolang</v>
          </cell>
          <cell r="D338" t="str">
            <v>Kontrak</v>
          </cell>
          <cell r="E338" t="str">
            <v>Aktif</v>
          </cell>
          <cell r="G338">
            <v>0</v>
          </cell>
          <cell r="H338" t="str">
            <v>Procurement &amp; GA</v>
          </cell>
          <cell r="I338" t="str">
            <v>Procurement</v>
          </cell>
          <cell r="J338" t="str">
            <v>Procurement Officer</v>
          </cell>
          <cell r="K338" t="str">
            <v>Officer</v>
          </cell>
          <cell r="L338" t="str">
            <v>0262392919</v>
          </cell>
          <cell r="M338">
            <v>0</v>
          </cell>
          <cell r="N338">
            <v>21</v>
          </cell>
          <cell r="O338">
            <v>3000000</v>
          </cell>
          <cell r="P338">
            <v>0</v>
          </cell>
          <cell r="Q338">
            <v>0</v>
          </cell>
          <cell r="R338">
            <v>3000000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120000</v>
          </cell>
          <cell r="Z338">
            <v>136200</v>
          </cell>
          <cell r="AA338">
            <v>60000</v>
          </cell>
          <cell r="AC338">
            <v>3000000</v>
          </cell>
          <cell r="AD338">
            <v>30000</v>
          </cell>
          <cell r="AE338">
            <v>60000</v>
          </cell>
          <cell r="AF338">
            <v>30000</v>
          </cell>
          <cell r="AG338">
            <v>0</v>
          </cell>
          <cell r="AH338">
            <v>0</v>
          </cell>
          <cell r="AI338">
            <v>0</v>
          </cell>
        </row>
        <row r="339">
          <cell r="B339" t="str">
            <v>02-0325-012</v>
          </cell>
          <cell r="C339" t="str">
            <v>Arnon Dwi Cahyadi</v>
          </cell>
          <cell r="D339" t="str">
            <v>Kontrak</v>
          </cell>
          <cell r="E339" t="str">
            <v>Aktif</v>
          </cell>
          <cell r="G339">
            <v>0</v>
          </cell>
          <cell r="H339" t="str">
            <v>Procurement &amp; GA</v>
          </cell>
          <cell r="I339" t="str">
            <v>Procurement</v>
          </cell>
          <cell r="J339" t="str">
            <v>Procurement Officer</v>
          </cell>
          <cell r="K339" t="str">
            <v>Officer</v>
          </cell>
          <cell r="L339" t="str">
            <v>8265183111</v>
          </cell>
          <cell r="M339">
            <v>0</v>
          </cell>
          <cell r="N339">
            <v>21</v>
          </cell>
          <cell r="O339">
            <v>3500000</v>
          </cell>
          <cell r="P339">
            <v>0</v>
          </cell>
          <cell r="Q339">
            <v>0</v>
          </cell>
          <cell r="R339">
            <v>3500000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140000</v>
          </cell>
          <cell r="Z339">
            <v>158900</v>
          </cell>
          <cell r="AA339">
            <v>70000</v>
          </cell>
          <cell r="AC339">
            <v>3500000</v>
          </cell>
          <cell r="AD339">
            <v>35000</v>
          </cell>
          <cell r="AE339">
            <v>70000</v>
          </cell>
          <cell r="AF339">
            <v>35000</v>
          </cell>
          <cell r="AG339">
            <v>0</v>
          </cell>
          <cell r="AH339">
            <v>0</v>
          </cell>
          <cell r="AI339">
            <v>0</v>
          </cell>
        </row>
        <row r="340">
          <cell r="B340" t="str">
            <v>02-0325-013</v>
          </cell>
          <cell r="C340" t="str">
            <v>Krisna Pamungkas</v>
          </cell>
          <cell r="D340" t="str">
            <v>Kontrak</v>
          </cell>
          <cell r="E340" t="str">
            <v>Aktif</v>
          </cell>
          <cell r="G340">
            <v>0</v>
          </cell>
          <cell r="H340" t="str">
            <v>Inpark Revenue</v>
          </cell>
          <cell r="I340" t="str">
            <v>FB Product</v>
          </cell>
          <cell r="J340" t="str">
            <v>Demi Chef Officer</v>
          </cell>
          <cell r="K340" t="str">
            <v>Officer</v>
          </cell>
          <cell r="L340">
            <v>0</v>
          </cell>
          <cell r="M340">
            <v>0</v>
          </cell>
          <cell r="N340">
            <v>21</v>
          </cell>
          <cell r="O340">
            <v>1750000</v>
          </cell>
          <cell r="P340">
            <v>0</v>
          </cell>
          <cell r="Q340">
            <v>0</v>
          </cell>
          <cell r="R340">
            <v>1750000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140000</v>
          </cell>
          <cell r="Z340">
            <v>158900</v>
          </cell>
          <cell r="AA340">
            <v>70000</v>
          </cell>
          <cell r="AC340">
            <v>1750000</v>
          </cell>
          <cell r="AD340">
            <v>35000</v>
          </cell>
          <cell r="AE340">
            <v>70000</v>
          </cell>
          <cell r="AF340">
            <v>35000</v>
          </cell>
          <cell r="AG340">
            <v>0</v>
          </cell>
          <cell r="AH340">
            <v>0</v>
          </cell>
          <cell r="AI340">
            <v>0</v>
          </cell>
        </row>
        <row r="341">
          <cell r="B341" t="str">
            <v>02-0325-015</v>
          </cell>
          <cell r="C341" t="str">
            <v>Amalia Rahmawati</v>
          </cell>
          <cell r="D341" t="str">
            <v>Kontrak</v>
          </cell>
          <cell r="E341" t="str">
            <v>Aktif</v>
          </cell>
          <cell r="G341">
            <v>0</v>
          </cell>
          <cell r="H341" t="str">
            <v>Inpark Revenue</v>
          </cell>
          <cell r="I341" t="str">
            <v>Inpark Revenue Operation</v>
          </cell>
          <cell r="J341" t="str">
            <v>Inpark Revenue Operational Crew</v>
          </cell>
          <cell r="K341" t="str">
            <v>Crew</v>
          </cell>
          <cell r="L341" t="str">
            <v>0132444321</v>
          </cell>
          <cell r="M341">
            <v>0</v>
          </cell>
          <cell r="N341">
            <v>25</v>
          </cell>
          <cell r="O341">
            <v>1375068</v>
          </cell>
          <cell r="P341">
            <v>0</v>
          </cell>
          <cell r="Q341">
            <v>0</v>
          </cell>
          <cell r="R341">
            <v>1375068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110005</v>
          </cell>
          <cell r="Z341">
            <v>124856</v>
          </cell>
          <cell r="AA341">
            <v>55003</v>
          </cell>
          <cell r="AC341">
            <v>1375068</v>
          </cell>
          <cell r="AD341">
            <v>27501</v>
          </cell>
          <cell r="AE341">
            <v>55003</v>
          </cell>
          <cell r="AF341">
            <v>27501</v>
          </cell>
          <cell r="AG341">
            <v>0</v>
          </cell>
          <cell r="AH341">
            <v>0</v>
          </cell>
          <cell r="AI341">
            <v>0</v>
          </cell>
        </row>
        <row r="342">
          <cell r="B342" t="str">
            <v>02-0325-016</v>
          </cell>
          <cell r="C342" t="str">
            <v>Yulia Nur Saidah</v>
          </cell>
          <cell r="D342" t="str">
            <v>Kontrak</v>
          </cell>
          <cell r="E342" t="str">
            <v>Aktif</v>
          </cell>
          <cell r="G342">
            <v>0</v>
          </cell>
          <cell r="H342" t="str">
            <v>Inpark Revenue</v>
          </cell>
          <cell r="I342" t="str">
            <v>Inpark Revenue Operation</v>
          </cell>
          <cell r="J342" t="str">
            <v>Inpark Revenue Operational Crew</v>
          </cell>
          <cell r="K342" t="str">
            <v>Crew</v>
          </cell>
          <cell r="L342" t="str">
            <v>2221483692</v>
          </cell>
          <cell r="M342">
            <v>0</v>
          </cell>
          <cell r="N342">
            <v>25</v>
          </cell>
          <cell r="O342">
            <v>1375068</v>
          </cell>
          <cell r="P342">
            <v>0</v>
          </cell>
          <cell r="Q342">
            <v>0</v>
          </cell>
          <cell r="R342">
            <v>1375068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110005</v>
          </cell>
          <cell r="Z342">
            <v>124856</v>
          </cell>
          <cell r="AA342">
            <v>55003</v>
          </cell>
          <cell r="AC342">
            <v>1375068</v>
          </cell>
          <cell r="AD342">
            <v>27501</v>
          </cell>
          <cell r="AE342">
            <v>55003</v>
          </cell>
          <cell r="AF342">
            <v>27501</v>
          </cell>
          <cell r="AG342">
            <v>0</v>
          </cell>
          <cell r="AH342">
            <v>0</v>
          </cell>
          <cell r="AI342">
            <v>0</v>
          </cell>
        </row>
        <row r="343">
          <cell r="B343" t="str">
            <v>02-0325-017</v>
          </cell>
          <cell r="C343" t="str">
            <v>Silva Hidayah</v>
          </cell>
          <cell r="D343" t="str">
            <v>Kontrak</v>
          </cell>
          <cell r="E343" t="str">
            <v>Aktif</v>
          </cell>
          <cell r="G343">
            <v>0</v>
          </cell>
          <cell r="H343" t="str">
            <v>Inpark Revenue</v>
          </cell>
          <cell r="I343" t="str">
            <v>Inpark Revenue Operation</v>
          </cell>
          <cell r="J343" t="str">
            <v>Inpark Revenue Operational Crew</v>
          </cell>
          <cell r="K343" t="str">
            <v>Crew</v>
          </cell>
          <cell r="L343" t="str">
            <v>0132446499</v>
          </cell>
          <cell r="M343">
            <v>0</v>
          </cell>
          <cell r="N343">
            <v>25</v>
          </cell>
          <cell r="O343">
            <v>1375068</v>
          </cell>
          <cell r="P343">
            <v>0</v>
          </cell>
          <cell r="Q343">
            <v>0</v>
          </cell>
          <cell r="R343">
            <v>1375068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110005</v>
          </cell>
          <cell r="Z343">
            <v>124856</v>
          </cell>
          <cell r="AA343">
            <v>55003</v>
          </cell>
          <cell r="AC343">
            <v>1375068</v>
          </cell>
          <cell r="AD343">
            <v>27501</v>
          </cell>
          <cell r="AE343">
            <v>55003</v>
          </cell>
          <cell r="AF343">
            <v>27501</v>
          </cell>
          <cell r="AG343">
            <v>0</v>
          </cell>
          <cell r="AH343">
            <v>0</v>
          </cell>
          <cell r="AI343">
            <v>0</v>
          </cell>
        </row>
        <row r="344">
          <cell r="O344">
            <v>1125964420</v>
          </cell>
          <cell r="P344">
            <v>56500000</v>
          </cell>
          <cell r="Q344">
            <v>7000000</v>
          </cell>
          <cell r="R344">
            <v>1189464420</v>
          </cell>
          <cell r="S344">
            <v>2847700</v>
          </cell>
          <cell r="T344">
            <v>55803700</v>
          </cell>
          <cell r="U344">
            <v>800000</v>
          </cell>
          <cell r="V344">
            <v>3703048</v>
          </cell>
          <cell r="W344">
            <v>6470000</v>
          </cell>
          <cell r="X344">
            <v>0</v>
          </cell>
          <cell r="Y344">
            <v>43446580</v>
          </cell>
          <cell r="Z344">
            <v>49819178</v>
          </cell>
          <cell r="AA344">
            <v>21475546</v>
          </cell>
          <cell r="AB344">
            <v>0</v>
          </cell>
          <cell r="AC344">
            <v>1256241168</v>
          </cell>
          <cell r="AD344">
            <v>10861595</v>
          </cell>
          <cell r="AE344">
            <v>21946856</v>
          </cell>
          <cell r="AF344">
            <v>10737669</v>
          </cell>
          <cell r="AG344">
            <v>0</v>
          </cell>
          <cell r="AH344">
            <v>0</v>
          </cell>
          <cell r="AI344">
            <v>427295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3"/>
  <sheetViews>
    <sheetView tabSelected="1" topLeftCell="N1" workbookViewId="0">
      <selection activeCell="P1" sqref="P1"/>
    </sheetView>
  </sheetViews>
  <sheetFormatPr defaultRowHeight="14.5" x14ac:dyDescent="0.35"/>
  <cols>
    <col min="1" max="2" width="4" customWidth="1"/>
    <col min="3" max="3" width="20" customWidth="1"/>
    <col min="4" max="4" width="35" customWidth="1"/>
    <col min="5" max="5" width="37" customWidth="1"/>
    <col min="6" max="6" width="16" customWidth="1"/>
    <col min="7" max="7" width="10" customWidth="1"/>
    <col min="8" max="8" width="19" customWidth="1"/>
    <col min="9" max="9" width="31" customWidth="1"/>
    <col min="10" max="15" width="17" customWidth="1"/>
  </cols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2">
        <v>1</v>
      </c>
      <c r="B2" s="2">
        <v>2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1703</v>
      </c>
      <c r="H2" s="2" t="s">
        <v>25</v>
      </c>
      <c r="I2" s="2" t="s">
        <v>26</v>
      </c>
      <c r="J2" s="1">
        <f>VLOOKUP($H2,[1]Detail!$B:$R,14,0)</f>
        <v>10000000</v>
      </c>
      <c r="K2" s="1">
        <v>2000000</v>
      </c>
      <c r="L2" s="1">
        <v>0</v>
      </c>
      <c r="M2" s="1">
        <v>47600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f>VLOOKUP($H2,[1]Detail!$B:$AI,34,0)</f>
        <v>0</v>
      </c>
    </row>
    <row r="3" spans="1:21" x14ac:dyDescent="0.35">
      <c r="A3" s="2">
        <v>2</v>
      </c>
      <c r="B3" s="2">
        <v>2</v>
      </c>
      <c r="C3" s="2" t="s">
        <v>21</v>
      </c>
      <c r="D3" s="2" t="s">
        <v>27</v>
      </c>
      <c r="E3" s="2" t="s">
        <v>28</v>
      </c>
      <c r="F3" s="2" t="s">
        <v>29</v>
      </c>
      <c r="G3" s="2">
        <v>1605</v>
      </c>
      <c r="H3" s="2" t="s">
        <v>30</v>
      </c>
      <c r="I3" s="2" t="s">
        <v>31</v>
      </c>
      <c r="J3" s="1">
        <f>VLOOKUP($H3,[1]Detail!$B:$R,14,0)</f>
        <v>29000000</v>
      </c>
      <c r="K3" s="1">
        <v>4000000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f>VLOOKUP($H3,[1]Detail!$B:$AI,34,0)</f>
        <v>0</v>
      </c>
    </row>
    <row r="4" spans="1:21" x14ac:dyDescent="0.35">
      <c r="A4" s="2">
        <v>3</v>
      </c>
      <c r="B4" s="2">
        <v>2</v>
      </c>
      <c r="C4" s="2" t="s">
        <v>21</v>
      </c>
      <c r="D4" s="2" t="s">
        <v>32</v>
      </c>
      <c r="E4" s="2" t="s">
        <v>33</v>
      </c>
      <c r="F4" s="2" t="s">
        <v>24</v>
      </c>
      <c r="G4" s="2">
        <v>4730</v>
      </c>
      <c r="H4" s="2" t="s">
        <v>34</v>
      </c>
      <c r="I4" s="2" t="s">
        <v>35</v>
      </c>
      <c r="J4" s="1">
        <f>VLOOKUP($H4,[1]Detail!$B:$R,14,0)</f>
        <v>10735688</v>
      </c>
      <c r="K4" s="1">
        <v>2000000</v>
      </c>
      <c r="L4" s="1">
        <v>0</v>
      </c>
      <c r="M4" s="1">
        <v>47600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f>VLOOKUP($H4,[1]Detail!$B:$AI,34,0)</f>
        <v>0</v>
      </c>
    </row>
    <row r="5" spans="1:21" x14ac:dyDescent="0.35">
      <c r="A5" s="2">
        <v>4</v>
      </c>
      <c r="B5" s="2">
        <v>2</v>
      </c>
      <c r="C5" s="2" t="s">
        <v>32</v>
      </c>
      <c r="D5" s="2" t="s">
        <v>36</v>
      </c>
      <c r="E5" s="2" t="s">
        <v>37</v>
      </c>
      <c r="F5" s="2" t="s">
        <v>38</v>
      </c>
      <c r="G5" s="2">
        <v>1003</v>
      </c>
      <c r="H5" s="2" t="s">
        <v>39</v>
      </c>
      <c r="I5" s="2" t="s">
        <v>40</v>
      </c>
      <c r="J5" s="1">
        <f>VLOOKUP($H5,[1]Detail!$B:$R,14,0)</f>
        <v>2824467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f>VLOOKUP($H5,[1]Detail!$B:$AI,34,0)</f>
        <v>0</v>
      </c>
    </row>
    <row r="6" spans="1:21" x14ac:dyDescent="0.35">
      <c r="A6" s="2">
        <v>5</v>
      </c>
      <c r="B6" s="2">
        <v>2</v>
      </c>
      <c r="C6" s="2" t="s">
        <v>32</v>
      </c>
      <c r="D6" s="2" t="s">
        <v>36</v>
      </c>
      <c r="E6" s="2" t="s">
        <v>41</v>
      </c>
      <c r="F6" s="2" t="s">
        <v>42</v>
      </c>
      <c r="G6" s="2">
        <v>1037</v>
      </c>
      <c r="H6" s="2" t="s">
        <v>43</v>
      </c>
      <c r="I6" s="2" t="s">
        <v>44</v>
      </c>
      <c r="J6" s="1">
        <f>VLOOKUP($H6,[1]Detail!$B:$R,14,0)</f>
        <v>2883099</v>
      </c>
      <c r="K6" s="1">
        <v>500000</v>
      </c>
      <c r="L6" s="1">
        <v>0</v>
      </c>
      <c r="M6" s="1">
        <v>11900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f>VLOOKUP($H6,[1]Detail!$B:$AI,34,0)</f>
        <v>0</v>
      </c>
    </row>
    <row r="7" spans="1:21" x14ac:dyDescent="0.35">
      <c r="A7" s="2">
        <v>6</v>
      </c>
      <c r="B7" s="2">
        <v>2</v>
      </c>
      <c r="C7" s="2" t="s">
        <v>45</v>
      </c>
      <c r="D7" s="2" t="s">
        <v>46</v>
      </c>
      <c r="E7" s="2" t="s">
        <v>47</v>
      </c>
      <c r="F7" s="2" t="s">
        <v>38</v>
      </c>
      <c r="G7" s="2">
        <v>1137</v>
      </c>
      <c r="H7" s="2" t="s">
        <v>48</v>
      </c>
      <c r="I7" s="2" t="s">
        <v>49</v>
      </c>
      <c r="J7" s="1">
        <f>VLOOKUP($H7,[1]Detail!$B:$R,14,0)</f>
        <v>2750136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f>VLOOKUP($H7,[1]Detail!$B:$AI,34,0)</f>
        <v>0</v>
      </c>
    </row>
    <row r="8" spans="1:21" x14ac:dyDescent="0.35">
      <c r="A8" s="2">
        <v>7</v>
      </c>
      <c r="B8" s="2">
        <v>2</v>
      </c>
      <c r="C8" s="2" t="s">
        <v>50</v>
      </c>
      <c r="D8" s="2" t="s">
        <v>51</v>
      </c>
      <c r="E8" s="2" t="s">
        <v>52</v>
      </c>
      <c r="F8" s="2" t="s">
        <v>38</v>
      </c>
      <c r="G8" s="2">
        <v>1138</v>
      </c>
      <c r="H8" s="2" t="s">
        <v>53</v>
      </c>
      <c r="I8" s="2" t="s">
        <v>54</v>
      </c>
      <c r="J8" s="1">
        <f>VLOOKUP($H8,[1]Detail!$B:$R,14,0)</f>
        <v>2750136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f>VLOOKUP($H8,[1]Detail!$B:$AI,34,0)</f>
        <v>0</v>
      </c>
    </row>
    <row r="9" spans="1:21" x14ac:dyDescent="0.35">
      <c r="A9" s="2">
        <v>8</v>
      </c>
      <c r="B9" s="2">
        <v>2</v>
      </c>
      <c r="C9" s="2" t="s">
        <v>50</v>
      </c>
      <c r="D9" s="2" t="s">
        <v>51</v>
      </c>
      <c r="E9" s="2" t="s">
        <v>55</v>
      </c>
      <c r="F9" s="2" t="s">
        <v>38</v>
      </c>
      <c r="G9" s="2">
        <v>1139</v>
      </c>
      <c r="H9" s="2" t="s">
        <v>56</v>
      </c>
      <c r="I9" s="2" t="s">
        <v>57</v>
      </c>
      <c r="J9" s="1">
        <f>VLOOKUP($H9,[1]Detail!$B:$R,14,0)</f>
        <v>2750136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f>VLOOKUP($H9,[1]Detail!$B:$AI,34,0)</f>
        <v>0</v>
      </c>
    </row>
    <row r="10" spans="1:21" x14ac:dyDescent="0.35">
      <c r="A10" s="2">
        <v>9</v>
      </c>
      <c r="B10" s="2">
        <v>2</v>
      </c>
      <c r="C10" s="2" t="s">
        <v>45</v>
      </c>
      <c r="D10" s="2" t="s">
        <v>46</v>
      </c>
      <c r="E10" s="2" t="s">
        <v>58</v>
      </c>
      <c r="F10" s="2" t="s">
        <v>42</v>
      </c>
      <c r="G10" s="2">
        <v>7826</v>
      </c>
      <c r="H10" s="2" t="s">
        <v>59</v>
      </c>
      <c r="I10" s="2" t="s">
        <v>60</v>
      </c>
      <c r="J10" s="1">
        <f>VLOOKUP($H10,[1]Detail!$B:$R,14,0)</f>
        <v>3300000</v>
      </c>
      <c r="K10" s="1">
        <v>500000</v>
      </c>
      <c r="L10" s="1">
        <v>0</v>
      </c>
      <c r="M10" s="1">
        <v>11900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f>VLOOKUP($H10,[1]Detail!$B:$AI,34,0)</f>
        <v>0</v>
      </c>
    </row>
    <row r="11" spans="1:21" x14ac:dyDescent="0.35">
      <c r="A11" s="2">
        <v>10</v>
      </c>
      <c r="B11" s="2">
        <v>2</v>
      </c>
      <c r="C11" s="2" t="s">
        <v>50</v>
      </c>
      <c r="D11" s="2" t="s">
        <v>51</v>
      </c>
      <c r="E11" s="2" t="s">
        <v>61</v>
      </c>
      <c r="F11" s="2" t="s">
        <v>42</v>
      </c>
      <c r="G11" s="2">
        <v>9525</v>
      </c>
      <c r="H11" s="2" t="s">
        <v>62</v>
      </c>
      <c r="I11" s="2" t="s">
        <v>63</v>
      </c>
      <c r="J11" s="1">
        <f>VLOOKUP($H11,[1]Detail!$B:$R,14,0)</f>
        <v>2990000</v>
      </c>
      <c r="K11" s="1">
        <v>500000</v>
      </c>
      <c r="L11" s="1">
        <v>0</v>
      </c>
      <c r="M11" s="1">
        <v>11900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f>VLOOKUP($H11,[1]Detail!$B:$AI,34,0)</f>
        <v>0</v>
      </c>
    </row>
    <row r="12" spans="1:21" x14ac:dyDescent="0.35">
      <c r="A12" s="2">
        <v>11</v>
      </c>
      <c r="B12" s="2">
        <v>2</v>
      </c>
      <c r="C12" s="2" t="s">
        <v>64</v>
      </c>
      <c r="D12" s="2" t="s">
        <v>65</v>
      </c>
      <c r="E12" s="2" t="s">
        <v>66</v>
      </c>
      <c r="F12" s="2" t="s">
        <v>38</v>
      </c>
      <c r="G12" s="2">
        <v>5754</v>
      </c>
      <c r="H12" s="2" t="s">
        <v>67</v>
      </c>
      <c r="I12" s="2" t="s">
        <v>68</v>
      </c>
      <c r="J12" s="1">
        <f>VLOOKUP($H12,[1]Detail!$B:$R,14,0)</f>
        <v>3143088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f>VLOOKUP($H12,[1]Detail!$B:$AI,34,0)</f>
        <v>0</v>
      </c>
    </row>
    <row r="13" spans="1:21" x14ac:dyDescent="0.35">
      <c r="A13" s="2">
        <v>12</v>
      </c>
      <c r="B13" s="2">
        <v>2</v>
      </c>
      <c r="C13" s="2" t="s">
        <v>45</v>
      </c>
      <c r="D13" s="2" t="s">
        <v>69</v>
      </c>
      <c r="E13" s="2" t="s">
        <v>70</v>
      </c>
      <c r="F13" s="2" t="s">
        <v>38</v>
      </c>
      <c r="G13" s="2">
        <v>2808</v>
      </c>
      <c r="H13" s="2" t="s">
        <v>71</v>
      </c>
      <c r="I13" s="2" t="s">
        <v>72</v>
      </c>
      <c r="J13" s="1">
        <f>VLOOKUP($H13,[1]Detail!$B:$R,14,0)</f>
        <v>3300472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f>VLOOKUP($H13,[1]Detail!$B:$AI,34,0)</f>
        <v>0</v>
      </c>
    </row>
    <row r="14" spans="1:21" x14ac:dyDescent="0.35">
      <c r="A14" s="2">
        <v>13</v>
      </c>
      <c r="B14" s="2">
        <v>2</v>
      </c>
      <c r="C14" s="2" t="s">
        <v>73</v>
      </c>
      <c r="D14" s="2" t="s">
        <v>74</v>
      </c>
      <c r="E14" s="2" t="s">
        <v>75</v>
      </c>
      <c r="F14" s="2" t="s">
        <v>38</v>
      </c>
      <c r="G14" s="2">
        <v>1144</v>
      </c>
      <c r="H14" s="2" t="s">
        <v>76</v>
      </c>
      <c r="I14" s="2" t="s">
        <v>77</v>
      </c>
      <c r="J14" s="1">
        <f>VLOOKUP($H14,[1]Detail!$B:$R,14,0)</f>
        <v>2750136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f>VLOOKUP($H14,[1]Detail!$B:$AI,34,0)</f>
        <v>0</v>
      </c>
    </row>
    <row r="15" spans="1:21" x14ac:dyDescent="0.35">
      <c r="A15" s="2">
        <v>14</v>
      </c>
      <c r="B15" s="2">
        <v>2</v>
      </c>
      <c r="C15" s="2" t="s">
        <v>64</v>
      </c>
      <c r="D15" s="2" t="s">
        <v>78</v>
      </c>
      <c r="E15" s="2" t="s">
        <v>79</v>
      </c>
      <c r="F15" s="2" t="s">
        <v>38</v>
      </c>
      <c r="G15" s="2">
        <v>1145</v>
      </c>
      <c r="H15" s="2" t="s">
        <v>80</v>
      </c>
      <c r="I15" s="2" t="s">
        <v>81</v>
      </c>
      <c r="J15" s="1">
        <f>VLOOKUP($H15,[1]Detail!$B:$R,14,0)</f>
        <v>2750136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f>VLOOKUP($H15,[1]Detail!$B:$AI,34,0)</f>
        <v>0</v>
      </c>
    </row>
    <row r="16" spans="1:21" x14ac:dyDescent="0.35">
      <c r="A16" s="2">
        <v>15</v>
      </c>
      <c r="B16" s="2">
        <v>2</v>
      </c>
      <c r="C16" s="2" t="s">
        <v>32</v>
      </c>
      <c r="D16" s="2" t="s">
        <v>36</v>
      </c>
      <c r="E16" s="2" t="s">
        <v>37</v>
      </c>
      <c r="F16" s="2" t="s">
        <v>38</v>
      </c>
      <c r="G16" s="2">
        <v>1163</v>
      </c>
      <c r="H16" s="2" t="s">
        <v>82</v>
      </c>
      <c r="I16" s="2" t="s">
        <v>83</v>
      </c>
      <c r="J16" s="1">
        <f>VLOOKUP($H16,[1]Detail!$B:$R,14,0)</f>
        <v>3461640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f>VLOOKUP($H16,[1]Detail!$B:$AI,34,0)</f>
        <v>0</v>
      </c>
    </row>
    <row r="17" spans="1:21" x14ac:dyDescent="0.35">
      <c r="A17" s="2">
        <v>16</v>
      </c>
      <c r="B17" s="2">
        <v>2</v>
      </c>
      <c r="C17" s="2" t="s">
        <v>73</v>
      </c>
      <c r="D17" s="2" t="s">
        <v>84</v>
      </c>
      <c r="E17" s="2" t="s">
        <v>85</v>
      </c>
      <c r="F17" s="2" t="s">
        <v>38</v>
      </c>
      <c r="G17" s="2">
        <v>1165</v>
      </c>
      <c r="H17" s="2" t="s">
        <v>86</v>
      </c>
      <c r="I17" s="2" t="s">
        <v>87</v>
      </c>
      <c r="J17" s="1">
        <f>VLOOKUP($H17,[1]Detail!$B:$R,14,0)</f>
        <v>2750136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f>VLOOKUP($H17,[1]Detail!$B:$AI,34,0)</f>
        <v>0</v>
      </c>
    </row>
    <row r="18" spans="1:21" x14ac:dyDescent="0.35">
      <c r="A18" s="2">
        <v>17</v>
      </c>
      <c r="B18" s="2">
        <v>2</v>
      </c>
      <c r="C18" s="2" t="s">
        <v>73</v>
      </c>
      <c r="D18" s="2" t="s">
        <v>84</v>
      </c>
      <c r="E18" s="2" t="s">
        <v>85</v>
      </c>
      <c r="F18" s="2" t="s">
        <v>38</v>
      </c>
      <c r="G18" s="2">
        <v>1166</v>
      </c>
      <c r="H18" s="2" t="s">
        <v>88</v>
      </c>
      <c r="I18" s="2" t="s">
        <v>89</v>
      </c>
      <c r="J18" s="1">
        <f>VLOOKUP($H18,[1]Detail!$B:$R,14,0)</f>
        <v>2750136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f>VLOOKUP($H18,[1]Detail!$B:$AI,34,0)</f>
        <v>27501</v>
      </c>
    </row>
    <row r="19" spans="1:21" x14ac:dyDescent="0.35">
      <c r="A19" s="2">
        <v>18</v>
      </c>
      <c r="B19" s="2">
        <v>2</v>
      </c>
      <c r="C19" s="2" t="s">
        <v>73</v>
      </c>
      <c r="D19" s="2" t="s">
        <v>74</v>
      </c>
      <c r="E19" s="2" t="s">
        <v>75</v>
      </c>
      <c r="F19" s="2" t="s">
        <v>38</v>
      </c>
      <c r="G19" s="2">
        <v>1169</v>
      </c>
      <c r="H19" s="2" t="s">
        <v>90</v>
      </c>
      <c r="I19" s="2" t="s">
        <v>91</v>
      </c>
      <c r="J19" s="1">
        <f>VLOOKUP($H19,[1]Detail!$B:$R,14,0)</f>
        <v>2750136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f>VLOOKUP($H19,[1]Detail!$B:$AI,34,0)</f>
        <v>0</v>
      </c>
    </row>
    <row r="20" spans="1:21" x14ac:dyDescent="0.35">
      <c r="A20" s="2">
        <v>19</v>
      </c>
      <c r="B20" s="2">
        <v>2</v>
      </c>
      <c r="C20" s="2" t="s">
        <v>73</v>
      </c>
      <c r="D20" s="2" t="s">
        <v>74</v>
      </c>
      <c r="E20" s="2" t="s">
        <v>75</v>
      </c>
      <c r="F20" s="2" t="s">
        <v>38</v>
      </c>
      <c r="G20" s="2">
        <v>1170</v>
      </c>
      <c r="H20" s="2" t="s">
        <v>92</v>
      </c>
      <c r="I20" s="2" t="s">
        <v>93</v>
      </c>
      <c r="J20" s="1">
        <f>VLOOKUP($H20,[1]Detail!$B:$R,14,0)</f>
        <v>2750136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f>VLOOKUP($H20,[1]Detail!$B:$AI,34,0)</f>
        <v>0</v>
      </c>
    </row>
    <row r="21" spans="1:21" x14ac:dyDescent="0.35">
      <c r="A21" s="2">
        <v>20</v>
      </c>
      <c r="B21" s="2">
        <v>2</v>
      </c>
      <c r="C21" s="2" t="s">
        <v>73</v>
      </c>
      <c r="D21" s="2" t="s">
        <v>74</v>
      </c>
      <c r="E21" s="2" t="s">
        <v>75</v>
      </c>
      <c r="F21" s="2" t="s">
        <v>38</v>
      </c>
      <c r="G21" s="2">
        <v>1172</v>
      </c>
      <c r="H21" s="2" t="s">
        <v>94</v>
      </c>
      <c r="I21" s="2" t="s">
        <v>95</v>
      </c>
      <c r="J21" s="1">
        <f>VLOOKUP($H21,[1]Detail!$B:$R,14,0)</f>
        <v>2750136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f>VLOOKUP($H21,[1]Detail!$B:$AI,34,0)</f>
        <v>0</v>
      </c>
    </row>
    <row r="22" spans="1:21" x14ac:dyDescent="0.35">
      <c r="A22" s="2">
        <v>21</v>
      </c>
      <c r="B22" s="2">
        <v>2</v>
      </c>
      <c r="C22" s="2" t="s">
        <v>73</v>
      </c>
      <c r="D22" s="2" t="s">
        <v>74</v>
      </c>
      <c r="E22" s="2" t="s">
        <v>75</v>
      </c>
      <c r="F22" s="2" t="s">
        <v>38</v>
      </c>
      <c r="G22" s="2">
        <v>1174</v>
      </c>
      <c r="H22" s="2" t="s">
        <v>96</v>
      </c>
      <c r="I22" s="2" t="s">
        <v>97</v>
      </c>
      <c r="J22" s="1">
        <f>VLOOKUP($H22,[1]Detail!$B:$R,14,0)</f>
        <v>2750136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f>VLOOKUP($H22,[1]Detail!$B:$AI,34,0)</f>
        <v>0</v>
      </c>
    </row>
    <row r="23" spans="1:21" x14ac:dyDescent="0.35">
      <c r="A23" s="2">
        <v>22</v>
      </c>
      <c r="B23" s="2">
        <v>2</v>
      </c>
      <c r="C23" s="2" t="s">
        <v>73</v>
      </c>
      <c r="D23" s="2" t="s">
        <v>74</v>
      </c>
      <c r="E23" s="2" t="s">
        <v>75</v>
      </c>
      <c r="F23" s="2" t="s">
        <v>38</v>
      </c>
      <c r="G23" s="2">
        <v>1175</v>
      </c>
      <c r="H23" s="2" t="s">
        <v>98</v>
      </c>
      <c r="I23" s="2" t="s">
        <v>99</v>
      </c>
      <c r="J23" s="1">
        <f>VLOOKUP($H23,[1]Detail!$B:$R,14,0)</f>
        <v>2750136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f>VLOOKUP($H23,[1]Detail!$B:$AI,34,0)</f>
        <v>0</v>
      </c>
    </row>
    <row r="24" spans="1:21" x14ac:dyDescent="0.35">
      <c r="A24" s="2">
        <v>23</v>
      </c>
      <c r="B24" s="2">
        <v>2</v>
      </c>
      <c r="C24" s="2" t="s">
        <v>45</v>
      </c>
      <c r="D24" s="2" t="s">
        <v>46</v>
      </c>
      <c r="E24" s="2" t="s">
        <v>47</v>
      </c>
      <c r="F24" s="2" t="s">
        <v>38</v>
      </c>
      <c r="G24" s="2">
        <v>1176</v>
      </c>
      <c r="H24" s="2" t="s">
        <v>100</v>
      </c>
      <c r="I24" s="2" t="s">
        <v>101</v>
      </c>
      <c r="J24" s="1">
        <f>VLOOKUP($H24,[1]Detail!$B:$R,14,0)</f>
        <v>2750136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f>VLOOKUP($H24,[1]Detail!$B:$AI,34,0)</f>
        <v>0</v>
      </c>
    </row>
    <row r="25" spans="1:21" x14ac:dyDescent="0.35">
      <c r="A25" s="2">
        <v>24</v>
      </c>
      <c r="B25" s="2">
        <v>2</v>
      </c>
      <c r="C25" s="2" t="s">
        <v>50</v>
      </c>
      <c r="D25" s="2" t="s">
        <v>102</v>
      </c>
      <c r="E25" s="2" t="s">
        <v>103</v>
      </c>
      <c r="F25" s="2" t="s">
        <v>104</v>
      </c>
      <c r="G25" s="2">
        <v>9102</v>
      </c>
      <c r="H25" s="2" t="s">
        <v>105</v>
      </c>
      <c r="I25" s="2" t="s">
        <v>106</v>
      </c>
      <c r="J25" s="1">
        <f>VLOOKUP($H25,[1]Detail!$B:$R,14,0)</f>
        <v>3360000</v>
      </c>
      <c r="K25" s="1">
        <v>1000000</v>
      </c>
      <c r="L25" s="1">
        <v>0</v>
      </c>
      <c r="M25" s="1">
        <v>19000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f>VLOOKUP($H25,[1]Detail!$B:$AI,34,0)</f>
        <v>0</v>
      </c>
    </row>
    <row r="26" spans="1:21" x14ac:dyDescent="0.35">
      <c r="A26" s="2">
        <v>25</v>
      </c>
      <c r="B26" s="2">
        <v>2</v>
      </c>
      <c r="C26" s="2" t="s">
        <v>73</v>
      </c>
      <c r="D26" s="2" t="s">
        <v>74</v>
      </c>
      <c r="E26" s="2" t="s">
        <v>107</v>
      </c>
      <c r="F26" s="2" t="s">
        <v>38</v>
      </c>
      <c r="G26" s="2">
        <v>1648</v>
      </c>
      <c r="H26" s="2" t="s">
        <v>108</v>
      </c>
      <c r="I26" s="2" t="s">
        <v>109</v>
      </c>
      <c r="J26" s="1">
        <f>VLOOKUP($H26,[1]Detail!$B:$R,14,0)</f>
        <v>3412609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f>VLOOKUP($H26,[1]Detail!$B:$AI,34,0)</f>
        <v>0</v>
      </c>
    </row>
    <row r="27" spans="1:21" x14ac:dyDescent="0.35">
      <c r="A27" s="2">
        <v>26</v>
      </c>
      <c r="B27" s="2">
        <v>2</v>
      </c>
      <c r="C27" s="2" t="s">
        <v>73</v>
      </c>
      <c r="D27" s="2" t="s">
        <v>74</v>
      </c>
      <c r="E27" s="2" t="s">
        <v>107</v>
      </c>
      <c r="F27" s="2" t="s">
        <v>38</v>
      </c>
      <c r="G27" s="2">
        <v>1649</v>
      </c>
      <c r="H27" s="2" t="s">
        <v>110</v>
      </c>
      <c r="I27" s="2" t="s">
        <v>111</v>
      </c>
      <c r="J27" s="1">
        <f>VLOOKUP($H27,[1]Detail!$B:$R,14,0)</f>
        <v>3276000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f>VLOOKUP($H27,[1]Detail!$B:$AI,34,0)</f>
        <v>0</v>
      </c>
    </row>
    <row r="28" spans="1:21" x14ac:dyDescent="0.35">
      <c r="A28" s="2">
        <v>27</v>
      </c>
      <c r="B28" s="2">
        <v>2</v>
      </c>
      <c r="C28" s="2" t="s">
        <v>45</v>
      </c>
      <c r="D28" s="2" t="s">
        <v>46</v>
      </c>
      <c r="E28" s="2" t="s">
        <v>47</v>
      </c>
      <c r="F28" s="2" t="s">
        <v>38</v>
      </c>
      <c r="G28" s="2">
        <v>1628</v>
      </c>
      <c r="H28" s="2" t="s">
        <v>112</v>
      </c>
      <c r="I28" s="2" t="s">
        <v>113</v>
      </c>
      <c r="J28" s="1">
        <f>VLOOKUP($H28,[1]Detail!$B:$R,14,0)</f>
        <v>2750136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f>VLOOKUP($H28,[1]Detail!$B:$AI,34,0)</f>
        <v>0</v>
      </c>
    </row>
    <row r="29" spans="1:21" x14ac:dyDescent="0.35">
      <c r="A29" s="2">
        <v>28</v>
      </c>
      <c r="B29" s="2">
        <v>2</v>
      </c>
      <c r="C29" s="2" t="s">
        <v>73</v>
      </c>
      <c r="D29" s="2" t="s">
        <v>74</v>
      </c>
      <c r="E29" s="2" t="s">
        <v>114</v>
      </c>
      <c r="F29" s="2" t="s">
        <v>38</v>
      </c>
      <c r="G29" s="2">
        <v>1920</v>
      </c>
      <c r="H29" s="2" t="s">
        <v>115</v>
      </c>
      <c r="I29" s="2" t="s">
        <v>116</v>
      </c>
      <c r="J29" s="1">
        <f>VLOOKUP($H29,[1]Detail!$B:$R,14,0)</f>
        <v>2750136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f>VLOOKUP($H29,[1]Detail!$B:$AI,34,0)</f>
        <v>0</v>
      </c>
    </row>
    <row r="30" spans="1:21" x14ac:dyDescent="0.35">
      <c r="A30" s="2">
        <v>29</v>
      </c>
      <c r="B30" s="2">
        <v>2</v>
      </c>
      <c r="C30" s="2" t="s">
        <v>73</v>
      </c>
      <c r="D30" s="2" t="s">
        <v>74</v>
      </c>
      <c r="E30" s="2" t="s">
        <v>117</v>
      </c>
      <c r="F30" s="2" t="s">
        <v>38</v>
      </c>
      <c r="G30" s="2">
        <v>1627</v>
      </c>
      <c r="H30" s="2" t="s">
        <v>118</v>
      </c>
      <c r="I30" s="2" t="s">
        <v>119</v>
      </c>
      <c r="J30" s="1">
        <f>VLOOKUP($H30,[1]Detail!$B:$R,14,0)</f>
        <v>3675000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f>VLOOKUP($H30,[1]Detail!$B:$AI,34,0)</f>
        <v>0</v>
      </c>
    </row>
    <row r="31" spans="1:21" x14ac:dyDescent="0.35">
      <c r="A31" s="2">
        <v>30</v>
      </c>
      <c r="B31" s="2">
        <v>2</v>
      </c>
      <c r="C31" s="2" t="s">
        <v>64</v>
      </c>
      <c r="D31" s="2" t="s">
        <v>78</v>
      </c>
      <c r="E31" s="2" t="s">
        <v>79</v>
      </c>
      <c r="F31" s="2" t="s">
        <v>38</v>
      </c>
      <c r="G31" s="2">
        <v>1630</v>
      </c>
      <c r="H31" s="2" t="s">
        <v>120</v>
      </c>
      <c r="I31" s="2" t="s">
        <v>121</v>
      </c>
      <c r="J31" s="1">
        <f>VLOOKUP($H31,[1]Detail!$B:$R,14,0)</f>
        <v>2750136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f>VLOOKUP($H31,[1]Detail!$B:$AI,34,0)</f>
        <v>0</v>
      </c>
    </row>
    <row r="32" spans="1:21" x14ac:dyDescent="0.35">
      <c r="A32" s="2">
        <v>31</v>
      </c>
      <c r="B32" s="2">
        <v>2</v>
      </c>
      <c r="C32" s="2" t="s">
        <v>45</v>
      </c>
      <c r="D32" s="2" t="s">
        <v>46</v>
      </c>
      <c r="E32" s="2" t="s">
        <v>47</v>
      </c>
      <c r="F32" s="2" t="s">
        <v>38</v>
      </c>
      <c r="G32" s="2">
        <v>1631</v>
      </c>
      <c r="H32" s="2" t="s">
        <v>122</v>
      </c>
      <c r="I32" s="2" t="s">
        <v>123</v>
      </c>
      <c r="J32" s="1">
        <f>VLOOKUP($H32,[1]Detail!$B:$R,14,0)</f>
        <v>2750136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f>VLOOKUP($H32,[1]Detail!$B:$AI,34,0)</f>
        <v>0</v>
      </c>
    </row>
    <row r="33" spans="1:21" x14ac:dyDescent="0.35">
      <c r="A33" s="2">
        <v>32</v>
      </c>
      <c r="B33" s="2">
        <v>2</v>
      </c>
      <c r="C33" s="2" t="s">
        <v>45</v>
      </c>
      <c r="D33" s="2" t="s">
        <v>46</v>
      </c>
      <c r="E33" s="2" t="s">
        <v>47</v>
      </c>
      <c r="F33" s="2" t="s">
        <v>38</v>
      </c>
      <c r="G33" s="2">
        <v>1632</v>
      </c>
      <c r="H33" s="2" t="s">
        <v>124</v>
      </c>
      <c r="I33" s="2" t="s">
        <v>125</v>
      </c>
      <c r="J33" s="1">
        <f>VLOOKUP($H33,[1]Detail!$B:$R,14,0)</f>
        <v>2750136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f>VLOOKUP($H33,[1]Detail!$B:$AI,34,0)</f>
        <v>0</v>
      </c>
    </row>
    <row r="34" spans="1:21" x14ac:dyDescent="0.35">
      <c r="A34" s="2">
        <v>33</v>
      </c>
      <c r="B34" s="2">
        <v>2</v>
      </c>
      <c r="C34" s="2" t="s">
        <v>45</v>
      </c>
      <c r="D34" s="2" t="s">
        <v>46</v>
      </c>
      <c r="E34" s="2" t="s">
        <v>47</v>
      </c>
      <c r="F34" s="2" t="s">
        <v>38</v>
      </c>
      <c r="G34" s="2">
        <v>1634</v>
      </c>
      <c r="H34" s="2" t="s">
        <v>126</v>
      </c>
      <c r="I34" s="2" t="s">
        <v>127</v>
      </c>
      <c r="J34" s="1">
        <f>VLOOKUP($H34,[1]Detail!$B:$R,14,0)</f>
        <v>2750136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f>VLOOKUP($H34,[1]Detail!$B:$AI,34,0)</f>
        <v>0</v>
      </c>
    </row>
    <row r="35" spans="1:21" x14ac:dyDescent="0.35">
      <c r="A35" s="2">
        <v>34</v>
      </c>
      <c r="B35" s="2">
        <v>2</v>
      </c>
      <c r="C35" s="2" t="s">
        <v>45</v>
      </c>
      <c r="D35" s="2" t="s">
        <v>128</v>
      </c>
      <c r="E35" s="2" t="s">
        <v>129</v>
      </c>
      <c r="F35" s="2" t="s">
        <v>38</v>
      </c>
      <c r="G35" s="2">
        <v>1701</v>
      </c>
      <c r="H35" s="2" t="s">
        <v>130</v>
      </c>
      <c r="I35" s="2" t="s">
        <v>131</v>
      </c>
      <c r="J35" s="1">
        <f>VLOOKUP($H35,[1]Detail!$B:$R,14,0)</f>
        <v>2750136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f>VLOOKUP($H35,[1]Detail!$B:$AI,34,0)</f>
        <v>0</v>
      </c>
    </row>
    <row r="36" spans="1:21" x14ac:dyDescent="0.35">
      <c r="A36" s="2">
        <v>35</v>
      </c>
      <c r="B36" s="2">
        <v>2</v>
      </c>
      <c r="C36" s="2" t="s">
        <v>50</v>
      </c>
      <c r="D36" s="2" t="s">
        <v>132</v>
      </c>
      <c r="E36" s="2" t="s">
        <v>133</v>
      </c>
      <c r="F36" s="2" t="s">
        <v>104</v>
      </c>
      <c r="G36" s="2">
        <v>1702</v>
      </c>
      <c r="H36" s="2" t="s">
        <v>134</v>
      </c>
      <c r="I36" s="2" t="s">
        <v>135</v>
      </c>
      <c r="J36" s="1">
        <f>VLOOKUP($H36,[1]Detail!$B:$R,14,0)</f>
        <v>8000000</v>
      </c>
      <c r="K36" s="1">
        <v>1000000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f>VLOOKUP($H36,[1]Detail!$B:$AI,34,0)</f>
        <v>0</v>
      </c>
    </row>
    <row r="37" spans="1:21" x14ac:dyDescent="0.35">
      <c r="A37" s="2">
        <v>36</v>
      </c>
      <c r="B37" s="2">
        <v>2</v>
      </c>
      <c r="C37" s="2" t="s">
        <v>136</v>
      </c>
      <c r="D37" s="2" t="s">
        <v>137</v>
      </c>
      <c r="E37" s="2" t="s">
        <v>138</v>
      </c>
      <c r="F37" s="2" t="s">
        <v>42</v>
      </c>
      <c r="G37" s="2">
        <v>1704</v>
      </c>
      <c r="H37" s="2" t="s">
        <v>139</v>
      </c>
      <c r="I37" s="2" t="s">
        <v>140</v>
      </c>
      <c r="J37" s="1">
        <f>VLOOKUP($H37,[1]Detail!$B:$R,14,0)</f>
        <v>2992500</v>
      </c>
      <c r="K37" s="1">
        <v>500000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f>VLOOKUP($H37,[1]Detail!$B:$AI,34,0)</f>
        <v>0</v>
      </c>
    </row>
    <row r="38" spans="1:21" x14ac:dyDescent="0.35">
      <c r="A38" s="2">
        <v>37</v>
      </c>
      <c r="B38" s="2">
        <v>2</v>
      </c>
      <c r="C38" s="2" t="s">
        <v>32</v>
      </c>
      <c r="D38" s="2" t="s">
        <v>36</v>
      </c>
      <c r="E38" s="2" t="s">
        <v>141</v>
      </c>
      <c r="F38" s="2" t="s">
        <v>38</v>
      </c>
      <c r="G38" s="2">
        <v>1705</v>
      </c>
      <c r="H38" s="2" t="s">
        <v>142</v>
      </c>
      <c r="I38" s="2" t="s">
        <v>143</v>
      </c>
      <c r="J38" s="1">
        <f>VLOOKUP($H38,[1]Detail!$B:$R,14,0)</f>
        <v>2750136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f>VLOOKUP($H38,[1]Detail!$B:$AI,34,0)</f>
        <v>0</v>
      </c>
    </row>
    <row r="39" spans="1:21" x14ac:dyDescent="0.35">
      <c r="A39" s="2">
        <v>38</v>
      </c>
      <c r="B39" s="2">
        <v>2</v>
      </c>
      <c r="C39" s="2" t="s">
        <v>144</v>
      </c>
      <c r="D39" s="2" t="s">
        <v>145</v>
      </c>
      <c r="E39" s="2" t="s">
        <v>146</v>
      </c>
      <c r="F39" s="2" t="s">
        <v>42</v>
      </c>
      <c r="G39" s="2">
        <v>1754</v>
      </c>
      <c r="H39" s="2" t="s">
        <v>147</v>
      </c>
      <c r="I39" s="2" t="s">
        <v>148</v>
      </c>
      <c r="J39" s="1">
        <f>VLOOKUP($H39,[1]Detail!$B:$R,14,0)</f>
        <v>3000000</v>
      </c>
      <c r="K39" s="1">
        <v>0</v>
      </c>
      <c r="L39" s="1">
        <v>0</v>
      </c>
      <c r="M39" s="1">
        <v>0</v>
      </c>
      <c r="N39" s="1">
        <v>100000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f>VLOOKUP($H39,[1]Detail!$B:$AI,34,0)</f>
        <v>0</v>
      </c>
    </row>
    <row r="40" spans="1:21" x14ac:dyDescent="0.35">
      <c r="A40" s="2">
        <v>39</v>
      </c>
      <c r="B40" s="2">
        <v>2</v>
      </c>
      <c r="C40" s="2" t="s">
        <v>45</v>
      </c>
      <c r="D40" s="2" t="s">
        <v>128</v>
      </c>
      <c r="E40" s="2" t="s">
        <v>149</v>
      </c>
      <c r="F40" s="2" t="s">
        <v>38</v>
      </c>
      <c r="G40" s="2">
        <v>1755</v>
      </c>
      <c r="H40" s="2" t="s">
        <v>150</v>
      </c>
      <c r="I40" s="2" t="s">
        <v>151</v>
      </c>
      <c r="J40" s="1">
        <f>VLOOKUP($H40,[1]Detail!$B:$R,14,0)</f>
        <v>2750136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f>VLOOKUP($H40,[1]Detail!$B:$AI,34,0)</f>
        <v>0</v>
      </c>
    </row>
    <row r="41" spans="1:21" x14ac:dyDescent="0.35">
      <c r="A41" s="2">
        <v>40</v>
      </c>
      <c r="B41" s="2">
        <v>2</v>
      </c>
      <c r="C41" s="2" t="s">
        <v>45</v>
      </c>
      <c r="D41" s="2" t="s">
        <v>46</v>
      </c>
      <c r="E41" s="2" t="s">
        <v>152</v>
      </c>
      <c r="F41" s="2" t="s">
        <v>38</v>
      </c>
      <c r="G41" s="2">
        <v>1756</v>
      </c>
      <c r="H41" s="2" t="s">
        <v>153</v>
      </c>
      <c r="I41" s="2" t="s">
        <v>154</v>
      </c>
      <c r="J41" s="1">
        <f>VLOOKUP($H41,[1]Detail!$B:$R,14,0)</f>
        <v>2750136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f>VLOOKUP($H41,[1]Detail!$B:$AI,34,0)</f>
        <v>0</v>
      </c>
    </row>
    <row r="42" spans="1:21" x14ac:dyDescent="0.35">
      <c r="A42" s="2">
        <v>41</v>
      </c>
      <c r="B42" s="2">
        <v>2</v>
      </c>
      <c r="C42" s="2" t="s">
        <v>45</v>
      </c>
      <c r="D42" s="2" t="s">
        <v>46</v>
      </c>
      <c r="E42" s="2" t="s">
        <v>152</v>
      </c>
      <c r="F42" s="2" t="s">
        <v>38</v>
      </c>
      <c r="G42" s="2">
        <v>1757</v>
      </c>
      <c r="H42" s="2" t="s">
        <v>155</v>
      </c>
      <c r="I42" s="2" t="s">
        <v>156</v>
      </c>
      <c r="J42" s="1">
        <f>VLOOKUP($H42,[1]Detail!$B:$R,14,0)</f>
        <v>2750136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f>VLOOKUP($H42,[1]Detail!$B:$AI,34,0)</f>
        <v>0</v>
      </c>
    </row>
    <row r="43" spans="1:21" x14ac:dyDescent="0.35">
      <c r="A43" s="2">
        <v>42</v>
      </c>
      <c r="B43" s="2">
        <v>2</v>
      </c>
      <c r="C43" s="2" t="s">
        <v>73</v>
      </c>
      <c r="D43" s="2" t="s">
        <v>74</v>
      </c>
      <c r="E43" s="2" t="s">
        <v>75</v>
      </c>
      <c r="F43" s="2" t="s">
        <v>38</v>
      </c>
      <c r="G43" s="2">
        <v>1148</v>
      </c>
      <c r="H43" s="2" t="s">
        <v>157</v>
      </c>
      <c r="I43" s="2" t="s">
        <v>158</v>
      </c>
      <c r="J43" s="1">
        <f>VLOOKUP($H43,[1]Detail!$B:$R,14,0)</f>
        <v>2750136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f>VLOOKUP($H43,[1]Detail!$B:$AI,34,0)</f>
        <v>0</v>
      </c>
    </row>
    <row r="44" spans="1:21" x14ac:dyDescent="0.35">
      <c r="A44" s="2">
        <v>43</v>
      </c>
      <c r="B44" s="2">
        <v>2</v>
      </c>
      <c r="C44" s="2" t="s">
        <v>73</v>
      </c>
      <c r="D44" s="2" t="s">
        <v>74</v>
      </c>
      <c r="E44" s="2" t="s">
        <v>75</v>
      </c>
      <c r="F44" s="2" t="s">
        <v>38</v>
      </c>
      <c r="G44" s="2">
        <v>1149</v>
      </c>
      <c r="H44" s="2" t="s">
        <v>159</v>
      </c>
      <c r="I44" s="2" t="s">
        <v>160</v>
      </c>
      <c r="J44" s="1">
        <f>VLOOKUP($H44,[1]Detail!$B:$R,14,0)</f>
        <v>2750136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f>VLOOKUP($H44,[1]Detail!$B:$AI,34,0)</f>
        <v>0</v>
      </c>
    </row>
    <row r="45" spans="1:21" x14ac:dyDescent="0.35">
      <c r="A45" s="2">
        <v>44</v>
      </c>
      <c r="B45" s="2">
        <v>2</v>
      </c>
      <c r="C45" s="2" t="s">
        <v>73</v>
      </c>
      <c r="D45" s="2" t="s">
        <v>74</v>
      </c>
      <c r="E45" s="2" t="s">
        <v>75</v>
      </c>
      <c r="F45" s="2" t="s">
        <v>38</v>
      </c>
      <c r="G45" s="2">
        <v>1178</v>
      </c>
      <c r="H45" s="2" t="s">
        <v>161</v>
      </c>
      <c r="I45" s="2" t="s">
        <v>162</v>
      </c>
      <c r="J45" s="1">
        <f>VLOOKUP($H45,[1]Detail!$B:$R,14,0)</f>
        <v>2750136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f>VLOOKUP($H45,[1]Detail!$B:$AI,34,0)</f>
        <v>0</v>
      </c>
    </row>
    <row r="46" spans="1:21" x14ac:dyDescent="0.35">
      <c r="A46" s="2">
        <v>45</v>
      </c>
      <c r="B46" s="2">
        <v>2</v>
      </c>
      <c r="C46" s="2" t="s">
        <v>73</v>
      </c>
      <c r="D46" s="2" t="s">
        <v>74</v>
      </c>
      <c r="E46" s="2" t="s">
        <v>75</v>
      </c>
      <c r="F46" s="2" t="s">
        <v>38</v>
      </c>
      <c r="G46" s="2">
        <v>1179</v>
      </c>
      <c r="H46" s="2" t="s">
        <v>163</v>
      </c>
      <c r="I46" s="2" t="s">
        <v>164</v>
      </c>
      <c r="J46" s="1">
        <f>VLOOKUP($H46,[1]Detail!$B:$R,14,0)</f>
        <v>2750136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f>VLOOKUP($H46,[1]Detail!$B:$AI,34,0)</f>
        <v>0</v>
      </c>
    </row>
    <row r="47" spans="1:21" x14ac:dyDescent="0.35">
      <c r="A47" s="2">
        <v>46</v>
      </c>
      <c r="B47" s="2">
        <v>2</v>
      </c>
      <c r="C47" s="2" t="s">
        <v>144</v>
      </c>
      <c r="D47" s="2" t="s">
        <v>165</v>
      </c>
      <c r="E47" s="2" t="s">
        <v>166</v>
      </c>
      <c r="F47" s="2" t="s">
        <v>38</v>
      </c>
      <c r="G47" s="2">
        <v>1180</v>
      </c>
      <c r="H47" s="2" t="s">
        <v>167</v>
      </c>
      <c r="I47" s="2" t="s">
        <v>168</v>
      </c>
      <c r="J47" s="1">
        <f>VLOOKUP($H47,[1]Detail!$B:$R,14,0)</f>
        <v>2750136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f>VLOOKUP($H47,[1]Detail!$B:$AI,34,0)</f>
        <v>0</v>
      </c>
    </row>
    <row r="48" spans="1:21" x14ac:dyDescent="0.35">
      <c r="A48" s="2">
        <v>47</v>
      </c>
      <c r="B48" s="2">
        <v>2</v>
      </c>
      <c r="C48" s="2" t="s">
        <v>73</v>
      </c>
      <c r="D48" s="2" t="s">
        <v>74</v>
      </c>
      <c r="E48" s="2" t="s">
        <v>169</v>
      </c>
      <c r="F48" s="2" t="s">
        <v>38</v>
      </c>
      <c r="G48" s="2">
        <v>1181</v>
      </c>
      <c r="H48" s="2" t="s">
        <v>170</v>
      </c>
      <c r="I48" s="2" t="s">
        <v>171</v>
      </c>
      <c r="J48" s="1">
        <f>VLOOKUP($H48,[1]Detail!$B:$R,14,0)</f>
        <v>2750136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f>VLOOKUP($H48,[1]Detail!$B:$AI,34,0)</f>
        <v>0</v>
      </c>
    </row>
    <row r="49" spans="1:21" x14ac:dyDescent="0.35">
      <c r="A49" s="2">
        <v>48</v>
      </c>
      <c r="B49" s="2">
        <v>2</v>
      </c>
      <c r="C49" s="2" t="s">
        <v>73</v>
      </c>
      <c r="D49" s="2" t="s">
        <v>74</v>
      </c>
      <c r="E49" s="2" t="s">
        <v>75</v>
      </c>
      <c r="F49" s="2" t="s">
        <v>38</v>
      </c>
      <c r="G49" s="2">
        <v>1182</v>
      </c>
      <c r="H49" s="2" t="s">
        <v>172</v>
      </c>
      <c r="I49" s="2" t="s">
        <v>173</v>
      </c>
      <c r="J49" s="1">
        <f>VLOOKUP($H49,[1]Detail!$B:$R,14,0)</f>
        <v>2750136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f>VLOOKUP($H49,[1]Detail!$B:$AI,34,0)</f>
        <v>0</v>
      </c>
    </row>
    <row r="50" spans="1:21" x14ac:dyDescent="0.35">
      <c r="A50" s="2">
        <v>49</v>
      </c>
      <c r="B50" s="2">
        <v>2</v>
      </c>
      <c r="C50" s="2" t="s">
        <v>73</v>
      </c>
      <c r="D50" s="2" t="s">
        <v>74</v>
      </c>
      <c r="E50" s="2" t="s">
        <v>75</v>
      </c>
      <c r="F50" s="2" t="s">
        <v>38</v>
      </c>
      <c r="G50" s="2">
        <v>1183</v>
      </c>
      <c r="H50" s="2" t="s">
        <v>174</v>
      </c>
      <c r="I50" s="2" t="s">
        <v>175</v>
      </c>
      <c r="J50" s="1">
        <f>VLOOKUP($H50,[1]Detail!$B:$R,14,0)</f>
        <v>2750136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f>VLOOKUP($H50,[1]Detail!$B:$AI,34,0)</f>
        <v>0</v>
      </c>
    </row>
    <row r="51" spans="1:21" x14ac:dyDescent="0.35">
      <c r="A51" s="2">
        <v>50</v>
      </c>
      <c r="B51" s="2">
        <v>2</v>
      </c>
      <c r="C51" s="2" t="s">
        <v>45</v>
      </c>
      <c r="D51" s="2" t="s">
        <v>46</v>
      </c>
      <c r="E51" s="2" t="s">
        <v>47</v>
      </c>
      <c r="F51" s="2" t="s">
        <v>38</v>
      </c>
      <c r="G51" s="2">
        <v>1184</v>
      </c>
      <c r="H51" s="2" t="s">
        <v>176</v>
      </c>
      <c r="I51" s="2" t="s">
        <v>177</v>
      </c>
      <c r="J51" s="1">
        <f>VLOOKUP($H51,[1]Detail!$B:$R,14,0)</f>
        <v>2750136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f>VLOOKUP($H51,[1]Detail!$B:$AI,34,0)</f>
        <v>0</v>
      </c>
    </row>
    <row r="52" spans="1:21" x14ac:dyDescent="0.35">
      <c r="A52" s="2">
        <v>51</v>
      </c>
      <c r="B52" s="2">
        <v>2</v>
      </c>
      <c r="C52" s="2" t="s">
        <v>64</v>
      </c>
      <c r="D52" s="2" t="s">
        <v>178</v>
      </c>
      <c r="E52" s="2" t="s">
        <v>179</v>
      </c>
      <c r="F52" s="2" t="s">
        <v>38</v>
      </c>
      <c r="G52" s="2">
        <v>1187</v>
      </c>
      <c r="H52" s="2" t="s">
        <v>180</v>
      </c>
      <c r="I52" s="2" t="s">
        <v>181</v>
      </c>
      <c r="J52" s="1">
        <f>VLOOKUP($H52,[1]Detail!$B:$R,14,0)</f>
        <v>2750136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f>VLOOKUP($H52,[1]Detail!$B:$AI,34,0)</f>
        <v>0</v>
      </c>
    </row>
    <row r="53" spans="1:21" x14ac:dyDescent="0.35">
      <c r="A53" s="2">
        <v>52</v>
      </c>
      <c r="B53" s="2">
        <v>2</v>
      </c>
      <c r="C53" s="2" t="s">
        <v>182</v>
      </c>
      <c r="D53" s="2" t="s">
        <v>183</v>
      </c>
      <c r="E53" s="2" t="s">
        <v>184</v>
      </c>
      <c r="F53" s="2" t="s">
        <v>42</v>
      </c>
      <c r="G53" s="2">
        <v>4458</v>
      </c>
      <c r="H53" s="2" t="s">
        <v>185</v>
      </c>
      <c r="I53" s="2" t="s">
        <v>186</v>
      </c>
      <c r="J53" s="1">
        <f>VLOOKUP($H53,[1]Detail!$B:$R,14,0)</f>
        <v>3586275</v>
      </c>
      <c r="K53" s="1">
        <v>500000</v>
      </c>
      <c r="L53" s="1">
        <v>0</v>
      </c>
      <c r="M53" s="1">
        <v>11900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f>VLOOKUP($H53,[1]Detail!$B:$AI,34,0)</f>
        <v>0</v>
      </c>
    </row>
    <row r="54" spans="1:21" x14ac:dyDescent="0.35">
      <c r="A54" s="2">
        <v>53</v>
      </c>
      <c r="B54" s="2">
        <v>2</v>
      </c>
      <c r="C54" s="2" t="s">
        <v>45</v>
      </c>
      <c r="D54" s="2" t="s">
        <v>46</v>
      </c>
      <c r="E54" s="2" t="s">
        <v>47</v>
      </c>
      <c r="F54" s="2" t="s">
        <v>38</v>
      </c>
      <c r="G54" s="2">
        <v>1189</v>
      </c>
      <c r="H54" s="2" t="s">
        <v>187</v>
      </c>
      <c r="I54" s="2" t="s">
        <v>188</v>
      </c>
      <c r="J54" s="1">
        <f>VLOOKUP($H54,[1]Detail!$B:$R,14,0)</f>
        <v>2750136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f>VLOOKUP($H54,[1]Detail!$B:$AI,34,0)</f>
        <v>0</v>
      </c>
    </row>
    <row r="55" spans="1:21" x14ac:dyDescent="0.35">
      <c r="A55" s="2">
        <v>54</v>
      </c>
      <c r="B55" s="2">
        <v>2</v>
      </c>
      <c r="C55" s="2" t="s">
        <v>64</v>
      </c>
      <c r="D55" s="2" t="s">
        <v>78</v>
      </c>
      <c r="E55" s="2" t="s">
        <v>79</v>
      </c>
      <c r="F55" s="2" t="s">
        <v>38</v>
      </c>
      <c r="G55" s="2">
        <v>1190</v>
      </c>
      <c r="H55" s="2" t="s">
        <v>189</v>
      </c>
      <c r="I55" s="2" t="s">
        <v>190</v>
      </c>
      <c r="J55" s="1">
        <f>VLOOKUP($H55,[1]Detail!$B:$R,14,0)</f>
        <v>2750136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f>VLOOKUP($H55,[1]Detail!$B:$AI,34,0)</f>
        <v>0</v>
      </c>
    </row>
    <row r="56" spans="1:21" x14ac:dyDescent="0.35">
      <c r="A56" s="2">
        <v>55</v>
      </c>
      <c r="B56" s="2">
        <v>2</v>
      </c>
      <c r="C56" s="2" t="s">
        <v>73</v>
      </c>
      <c r="D56" s="2" t="s">
        <v>74</v>
      </c>
      <c r="E56" s="2" t="s">
        <v>75</v>
      </c>
      <c r="F56" s="2" t="s">
        <v>38</v>
      </c>
      <c r="G56" s="2">
        <v>1191</v>
      </c>
      <c r="H56" s="2" t="s">
        <v>191</v>
      </c>
      <c r="I56" s="2" t="s">
        <v>192</v>
      </c>
      <c r="J56" s="1">
        <f>VLOOKUP($H56,[1]Detail!$B:$R,14,0)</f>
        <v>2750136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f>VLOOKUP($H56,[1]Detail!$B:$AI,34,0)</f>
        <v>0</v>
      </c>
    </row>
    <row r="57" spans="1:21" x14ac:dyDescent="0.35">
      <c r="A57" s="2">
        <v>56</v>
      </c>
      <c r="B57" s="2">
        <v>2</v>
      </c>
      <c r="C57" s="2" t="s">
        <v>73</v>
      </c>
      <c r="D57" s="2" t="s">
        <v>74</v>
      </c>
      <c r="E57" s="2" t="s">
        <v>75</v>
      </c>
      <c r="F57" s="2" t="s">
        <v>38</v>
      </c>
      <c r="G57" s="2">
        <v>1192</v>
      </c>
      <c r="H57" s="2" t="s">
        <v>193</v>
      </c>
      <c r="I57" s="2" t="s">
        <v>194</v>
      </c>
      <c r="J57" s="1">
        <f>VLOOKUP($H57,[1]Detail!$B:$R,14,0)</f>
        <v>2750136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f>VLOOKUP($H57,[1]Detail!$B:$AI,34,0)</f>
        <v>0</v>
      </c>
    </row>
    <row r="58" spans="1:21" x14ac:dyDescent="0.35">
      <c r="A58" s="2">
        <v>57</v>
      </c>
      <c r="B58" s="2">
        <v>2</v>
      </c>
      <c r="C58" s="2" t="s">
        <v>73</v>
      </c>
      <c r="D58" s="2" t="s">
        <v>74</v>
      </c>
      <c r="E58" s="2" t="s">
        <v>75</v>
      </c>
      <c r="F58" s="2" t="s">
        <v>38</v>
      </c>
      <c r="G58" s="2">
        <v>1193</v>
      </c>
      <c r="H58" s="2" t="s">
        <v>195</v>
      </c>
      <c r="I58" s="2" t="s">
        <v>196</v>
      </c>
      <c r="J58" s="1">
        <f>VLOOKUP($H58,[1]Detail!$B:$R,14,0)</f>
        <v>2750136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f>VLOOKUP($H58,[1]Detail!$B:$AI,34,0)</f>
        <v>0</v>
      </c>
    </row>
    <row r="59" spans="1:21" x14ac:dyDescent="0.35">
      <c r="A59" s="2">
        <v>58</v>
      </c>
      <c r="B59" s="2">
        <v>2</v>
      </c>
      <c r="C59" s="2" t="s">
        <v>73</v>
      </c>
      <c r="D59" s="2" t="s">
        <v>74</v>
      </c>
      <c r="E59" s="2" t="s">
        <v>197</v>
      </c>
      <c r="F59" s="2" t="s">
        <v>38</v>
      </c>
      <c r="G59" s="2">
        <v>1194</v>
      </c>
      <c r="H59" s="2" t="s">
        <v>198</v>
      </c>
      <c r="I59" s="2" t="s">
        <v>199</v>
      </c>
      <c r="J59" s="1">
        <f>VLOOKUP($H59,[1]Detail!$B:$R,14,0)</f>
        <v>2750136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f>VLOOKUP($H59,[1]Detail!$B:$AI,34,0)</f>
        <v>0</v>
      </c>
    </row>
    <row r="60" spans="1:21" x14ac:dyDescent="0.35">
      <c r="A60" s="2">
        <v>59</v>
      </c>
      <c r="B60" s="2">
        <v>2</v>
      </c>
      <c r="C60" s="2" t="s">
        <v>32</v>
      </c>
      <c r="D60" s="2" t="s">
        <v>36</v>
      </c>
      <c r="E60" s="2" t="s">
        <v>141</v>
      </c>
      <c r="F60" s="2" t="s">
        <v>38</v>
      </c>
      <c r="G60" s="2">
        <v>1195</v>
      </c>
      <c r="H60" s="2" t="s">
        <v>200</v>
      </c>
      <c r="I60" s="2" t="s">
        <v>201</v>
      </c>
      <c r="J60" s="1">
        <f>VLOOKUP($H60,[1]Detail!$B:$R,14,0)</f>
        <v>2750136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f>VLOOKUP($H60,[1]Detail!$B:$AI,34,0)</f>
        <v>0</v>
      </c>
    </row>
    <row r="61" spans="1:21" x14ac:dyDescent="0.35">
      <c r="A61" s="2">
        <v>60</v>
      </c>
      <c r="B61" s="2">
        <v>2</v>
      </c>
      <c r="C61" s="2" t="s">
        <v>64</v>
      </c>
      <c r="D61" s="2" t="s">
        <v>202</v>
      </c>
      <c r="E61" s="2" t="s">
        <v>203</v>
      </c>
      <c r="F61" s="2" t="s">
        <v>38</v>
      </c>
      <c r="G61" s="2">
        <v>1196</v>
      </c>
      <c r="H61" s="2" t="s">
        <v>204</v>
      </c>
      <c r="I61" s="2" t="s">
        <v>205</v>
      </c>
      <c r="J61" s="1">
        <f>VLOOKUP($H61,[1]Detail!$B:$R,14,0)</f>
        <v>2750136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f>VLOOKUP($H61,[1]Detail!$B:$AI,34,0)</f>
        <v>0</v>
      </c>
    </row>
    <row r="62" spans="1:21" x14ac:dyDescent="0.35">
      <c r="A62" s="2">
        <v>61</v>
      </c>
      <c r="B62" s="2">
        <v>2</v>
      </c>
      <c r="C62" s="2" t="s">
        <v>64</v>
      </c>
      <c r="D62" s="2" t="s">
        <v>202</v>
      </c>
      <c r="E62" s="2" t="s">
        <v>203</v>
      </c>
      <c r="F62" s="2" t="s">
        <v>38</v>
      </c>
      <c r="G62" s="2">
        <v>1197</v>
      </c>
      <c r="H62" s="2" t="s">
        <v>206</v>
      </c>
      <c r="I62" s="2" t="s">
        <v>207</v>
      </c>
      <c r="J62" s="1">
        <f>VLOOKUP($H62,[1]Detail!$B:$R,14,0)</f>
        <v>2750136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f>VLOOKUP($H62,[1]Detail!$B:$AI,34,0)</f>
        <v>0</v>
      </c>
    </row>
    <row r="63" spans="1:21" x14ac:dyDescent="0.35">
      <c r="A63" s="2">
        <v>62</v>
      </c>
      <c r="B63" s="2">
        <v>2</v>
      </c>
      <c r="C63" s="2" t="s">
        <v>73</v>
      </c>
      <c r="D63" s="2" t="s">
        <v>74</v>
      </c>
      <c r="E63" s="2" t="s">
        <v>208</v>
      </c>
      <c r="F63" s="2" t="s">
        <v>38</v>
      </c>
      <c r="G63" s="2">
        <v>1199</v>
      </c>
      <c r="H63" s="2" t="s">
        <v>209</v>
      </c>
      <c r="I63" s="2" t="s">
        <v>210</v>
      </c>
      <c r="J63" s="1">
        <f>VLOOKUP($H63,[1]Detail!$B:$R,14,0)</f>
        <v>2820980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200000</v>
      </c>
      <c r="Q63" s="1">
        <v>0</v>
      </c>
      <c r="R63" s="1">
        <v>0</v>
      </c>
      <c r="S63" s="1">
        <v>0</v>
      </c>
      <c r="T63" s="1">
        <v>0</v>
      </c>
      <c r="U63" s="1">
        <f>VLOOKUP($H63,[1]Detail!$B:$AI,34,0)</f>
        <v>0</v>
      </c>
    </row>
    <row r="64" spans="1:21" x14ac:dyDescent="0.35">
      <c r="A64" s="2">
        <v>63</v>
      </c>
      <c r="B64" s="2">
        <v>2</v>
      </c>
      <c r="C64" s="2" t="s">
        <v>22</v>
      </c>
      <c r="D64" s="2" t="s">
        <v>211</v>
      </c>
      <c r="E64" s="2" t="s">
        <v>212</v>
      </c>
      <c r="F64" s="2" t="s">
        <v>42</v>
      </c>
      <c r="G64" s="2">
        <v>7052</v>
      </c>
      <c r="H64" s="2" t="s">
        <v>213</v>
      </c>
      <c r="I64" s="2" t="s">
        <v>214</v>
      </c>
      <c r="J64" s="1">
        <f>VLOOKUP($H64,[1]Detail!$B:$R,14,0)</f>
        <v>3080000</v>
      </c>
      <c r="K64" s="1">
        <v>500000</v>
      </c>
      <c r="L64" s="1">
        <v>0</v>
      </c>
      <c r="M64" s="1">
        <v>11900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f>VLOOKUP($H64,[1]Detail!$B:$AI,34,0)</f>
        <v>0</v>
      </c>
    </row>
    <row r="65" spans="1:21" x14ac:dyDescent="0.35">
      <c r="A65" s="2">
        <v>64</v>
      </c>
      <c r="B65" s="2">
        <v>2</v>
      </c>
      <c r="C65" s="2" t="s">
        <v>64</v>
      </c>
      <c r="D65" s="2" t="s">
        <v>78</v>
      </c>
      <c r="E65" s="2" t="s">
        <v>215</v>
      </c>
      <c r="F65" s="2" t="s">
        <v>38</v>
      </c>
      <c r="G65" s="2">
        <v>1202</v>
      </c>
      <c r="H65" s="2" t="s">
        <v>216</v>
      </c>
      <c r="I65" s="2" t="s">
        <v>217</v>
      </c>
      <c r="J65" s="1">
        <f>VLOOKUP($H65,[1]Detail!$B:$R,14,0)</f>
        <v>3328500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f>VLOOKUP($H65,[1]Detail!$B:$AI,34,0)</f>
        <v>0</v>
      </c>
    </row>
    <row r="66" spans="1:21" x14ac:dyDescent="0.35">
      <c r="A66" s="2">
        <v>65</v>
      </c>
      <c r="B66" s="2">
        <v>2</v>
      </c>
      <c r="C66" s="2" t="s">
        <v>136</v>
      </c>
      <c r="D66" s="2" t="s">
        <v>137</v>
      </c>
      <c r="E66" s="2" t="s">
        <v>218</v>
      </c>
      <c r="F66" s="2" t="s">
        <v>42</v>
      </c>
      <c r="G66" s="2">
        <v>1636</v>
      </c>
      <c r="H66" s="2" t="s">
        <v>219</v>
      </c>
      <c r="I66" s="2" t="s">
        <v>220</v>
      </c>
      <c r="J66" s="1">
        <f>VLOOKUP($H66,[1]Detail!$B:$R,14,0)</f>
        <v>3542000</v>
      </c>
      <c r="K66" s="1">
        <v>500000</v>
      </c>
      <c r="L66" s="1">
        <v>0</v>
      </c>
      <c r="M66" s="1">
        <v>11900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f>VLOOKUP($H66,[1]Detail!$B:$AI,34,0)</f>
        <v>0</v>
      </c>
    </row>
    <row r="67" spans="1:21" x14ac:dyDescent="0.35">
      <c r="A67" s="2">
        <v>66</v>
      </c>
      <c r="B67" s="2">
        <v>2</v>
      </c>
      <c r="C67" s="2" t="s">
        <v>73</v>
      </c>
      <c r="D67" s="2" t="s">
        <v>84</v>
      </c>
      <c r="E67" s="2" t="s">
        <v>85</v>
      </c>
      <c r="F67" s="2" t="s">
        <v>38</v>
      </c>
      <c r="G67" s="2">
        <v>1637</v>
      </c>
      <c r="H67" s="2" t="s">
        <v>221</v>
      </c>
      <c r="I67" s="2" t="s">
        <v>222</v>
      </c>
      <c r="J67" s="1">
        <f>VLOOKUP($H67,[1]Detail!$B:$R,14,0)</f>
        <v>2750136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f>VLOOKUP($H67,[1]Detail!$B:$AI,34,0)</f>
        <v>0</v>
      </c>
    </row>
    <row r="68" spans="1:21" x14ac:dyDescent="0.35">
      <c r="A68" s="2">
        <v>67</v>
      </c>
      <c r="B68" s="2">
        <v>2</v>
      </c>
      <c r="C68" s="2" t="s">
        <v>182</v>
      </c>
      <c r="D68" s="2" t="s">
        <v>183</v>
      </c>
      <c r="E68" s="2" t="s">
        <v>223</v>
      </c>
      <c r="F68" s="2" t="s">
        <v>42</v>
      </c>
      <c r="G68" s="2">
        <v>1708</v>
      </c>
      <c r="H68" s="2" t="s">
        <v>224</v>
      </c>
      <c r="I68" s="2" t="s">
        <v>225</v>
      </c>
      <c r="J68" s="1">
        <f>VLOOKUP($H68,[1]Detail!$B:$R,14,0)</f>
        <v>3020000</v>
      </c>
      <c r="K68" s="1">
        <v>500000</v>
      </c>
      <c r="L68" s="1">
        <v>0</v>
      </c>
      <c r="M68" s="1">
        <v>0</v>
      </c>
      <c r="N68" s="1">
        <v>0</v>
      </c>
      <c r="O68" s="1">
        <v>0</v>
      </c>
      <c r="P68" s="1">
        <v>135000</v>
      </c>
      <c r="Q68" s="1">
        <v>0</v>
      </c>
      <c r="R68" s="1">
        <v>0</v>
      </c>
      <c r="S68" s="1">
        <v>0</v>
      </c>
      <c r="T68" s="1">
        <v>0</v>
      </c>
      <c r="U68" s="1">
        <f>VLOOKUP($H68,[1]Detail!$B:$AI,34,0)</f>
        <v>0</v>
      </c>
    </row>
    <row r="69" spans="1:21" x14ac:dyDescent="0.35">
      <c r="A69" s="2">
        <v>68</v>
      </c>
      <c r="B69" s="2">
        <v>2</v>
      </c>
      <c r="C69" s="2" t="s">
        <v>144</v>
      </c>
      <c r="D69" s="2" t="s">
        <v>145</v>
      </c>
      <c r="E69" s="2" t="s">
        <v>226</v>
      </c>
      <c r="F69" s="2" t="s">
        <v>42</v>
      </c>
      <c r="G69" s="2">
        <v>1709</v>
      </c>
      <c r="H69" s="2" t="s">
        <v>227</v>
      </c>
      <c r="I69" s="2" t="s">
        <v>228</v>
      </c>
      <c r="J69" s="1">
        <f>VLOOKUP($H69,[1]Detail!$B:$R,14,0)</f>
        <v>3150000</v>
      </c>
      <c r="K69" s="1">
        <v>500000</v>
      </c>
      <c r="L69" s="1">
        <v>0</v>
      </c>
      <c r="M69" s="1">
        <v>0</v>
      </c>
      <c r="N69" s="1">
        <v>100000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f>VLOOKUP($H69,[1]Detail!$B:$AI,34,0)</f>
        <v>0</v>
      </c>
    </row>
    <row r="70" spans="1:21" x14ac:dyDescent="0.35">
      <c r="A70" s="2">
        <v>69</v>
      </c>
      <c r="B70" s="2">
        <v>2</v>
      </c>
      <c r="C70" s="2" t="s">
        <v>144</v>
      </c>
      <c r="D70" s="2" t="s">
        <v>229</v>
      </c>
      <c r="E70" s="2" t="s">
        <v>230</v>
      </c>
      <c r="F70" s="2" t="s">
        <v>42</v>
      </c>
      <c r="G70" s="2">
        <v>1710</v>
      </c>
      <c r="H70" s="2" t="s">
        <v>231</v>
      </c>
      <c r="I70" s="2" t="s">
        <v>232</v>
      </c>
      <c r="J70" s="1">
        <f>VLOOKUP($H70,[1]Detail!$B:$R,14,0)</f>
        <v>3150000</v>
      </c>
      <c r="K70" s="1">
        <v>500000</v>
      </c>
      <c r="L70" s="1">
        <v>0</v>
      </c>
      <c r="M70" s="1">
        <v>0</v>
      </c>
      <c r="N70" s="1">
        <v>100000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f>VLOOKUP($H70,[1]Detail!$B:$AI,34,0)</f>
        <v>0</v>
      </c>
    </row>
    <row r="71" spans="1:21" x14ac:dyDescent="0.35">
      <c r="A71" s="2">
        <v>70</v>
      </c>
      <c r="B71" s="2">
        <v>2</v>
      </c>
      <c r="C71" s="2" t="s">
        <v>45</v>
      </c>
      <c r="D71" s="2" t="s">
        <v>46</v>
      </c>
      <c r="E71" s="2" t="s">
        <v>47</v>
      </c>
      <c r="F71" s="2" t="s">
        <v>38</v>
      </c>
      <c r="G71" s="2">
        <v>1711</v>
      </c>
      <c r="H71" s="2" t="s">
        <v>233</v>
      </c>
      <c r="I71" s="2" t="s">
        <v>234</v>
      </c>
      <c r="J71" s="1">
        <f>VLOOKUP($H71,[1]Detail!$B:$R,14,0)</f>
        <v>2750136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f>VLOOKUP($H71,[1]Detail!$B:$AI,34,0)</f>
        <v>0</v>
      </c>
    </row>
    <row r="72" spans="1:21" x14ac:dyDescent="0.35">
      <c r="A72" s="2">
        <v>71</v>
      </c>
      <c r="B72" s="2">
        <v>2</v>
      </c>
      <c r="C72" s="2" t="s">
        <v>136</v>
      </c>
      <c r="D72" s="2" t="s">
        <v>137</v>
      </c>
      <c r="E72" s="2" t="s">
        <v>235</v>
      </c>
      <c r="F72" s="2" t="s">
        <v>42</v>
      </c>
      <c r="G72" s="2">
        <v>1713</v>
      </c>
      <c r="H72" s="2" t="s">
        <v>236</v>
      </c>
      <c r="I72" s="2" t="s">
        <v>237</v>
      </c>
      <c r="J72" s="1">
        <f>VLOOKUP($H72,[1]Detail!$B:$R,14,0)</f>
        <v>3675000</v>
      </c>
      <c r="K72" s="1">
        <v>500000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f>VLOOKUP($H72,[1]Detail!$B:$AI,34,0)</f>
        <v>0</v>
      </c>
    </row>
    <row r="73" spans="1:21" x14ac:dyDescent="0.35">
      <c r="A73" s="2">
        <v>72</v>
      </c>
      <c r="B73" s="2">
        <v>2</v>
      </c>
      <c r="C73" s="2" t="s">
        <v>136</v>
      </c>
      <c r="D73" s="2" t="s">
        <v>137</v>
      </c>
      <c r="E73" s="2" t="s">
        <v>235</v>
      </c>
      <c r="F73" s="2" t="s">
        <v>42</v>
      </c>
      <c r="G73" s="2">
        <v>1714</v>
      </c>
      <c r="H73" s="2" t="s">
        <v>238</v>
      </c>
      <c r="I73" s="2" t="s">
        <v>239</v>
      </c>
      <c r="J73" s="1">
        <f>VLOOKUP($H73,[1]Detail!$B:$R,14,0)</f>
        <v>3150000</v>
      </c>
      <c r="K73" s="1">
        <v>500000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f>VLOOKUP($H73,[1]Detail!$B:$AI,34,0)</f>
        <v>0</v>
      </c>
    </row>
    <row r="74" spans="1:21" x14ac:dyDescent="0.35">
      <c r="A74" s="2">
        <v>73</v>
      </c>
      <c r="B74" s="2">
        <v>2</v>
      </c>
      <c r="C74" s="2" t="s">
        <v>144</v>
      </c>
      <c r="D74" s="2" t="s">
        <v>229</v>
      </c>
      <c r="E74" s="2" t="s">
        <v>240</v>
      </c>
      <c r="F74" s="2" t="s">
        <v>42</v>
      </c>
      <c r="G74" s="2">
        <v>1758</v>
      </c>
      <c r="H74" s="2" t="s">
        <v>241</v>
      </c>
      <c r="I74" s="2" t="s">
        <v>242</v>
      </c>
      <c r="J74" s="1">
        <f>VLOOKUP($H74,[1]Detail!$B:$R,14,0)</f>
        <v>3250000</v>
      </c>
      <c r="K74" s="1">
        <v>0</v>
      </c>
      <c r="L74" s="1">
        <v>0</v>
      </c>
      <c r="M74" s="1">
        <v>0</v>
      </c>
      <c r="N74" s="1">
        <v>100000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f>VLOOKUP($H74,[1]Detail!$B:$AI,34,0)</f>
        <v>0</v>
      </c>
    </row>
    <row r="75" spans="1:21" x14ac:dyDescent="0.35">
      <c r="A75" s="2">
        <v>74</v>
      </c>
      <c r="B75" s="2">
        <v>2</v>
      </c>
      <c r="C75" s="2" t="s">
        <v>45</v>
      </c>
      <c r="D75" s="2" t="s">
        <v>46</v>
      </c>
      <c r="E75" s="2" t="s">
        <v>243</v>
      </c>
      <c r="F75" s="2" t="s">
        <v>38</v>
      </c>
      <c r="G75" s="2">
        <v>1759</v>
      </c>
      <c r="H75" s="2" t="s">
        <v>244</v>
      </c>
      <c r="I75" s="2" t="s">
        <v>245</v>
      </c>
      <c r="J75" s="1">
        <f>VLOOKUP($H75,[1]Detail!$B:$R,14,0)</f>
        <v>2750136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f>VLOOKUP($H75,[1]Detail!$B:$AI,34,0)</f>
        <v>0</v>
      </c>
    </row>
    <row r="76" spans="1:21" x14ac:dyDescent="0.35">
      <c r="A76" s="2">
        <v>75</v>
      </c>
      <c r="B76" s="2">
        <v>2</v>
      </c>
      <c r="C76" s="2" t="s">
        <v>50</v>
      </c>
      <c r="D76" s="2" t="s">
        <v>51</v>
      </c>
      <c r="E76" s="2" t="s">
        <v>52</v>
      </c>
      <c r="F76" s="2" t="s">
        <v>38</v>
      </c>
      <c r="G76" s="2">
        <v>1760</v>
      </c>
      <c r="H76" s="2" t="s">
        <v>246</v>
      </c>
      <c r="I76" s="2" t="s">
        <v>247</v>
      </c>
      <c r="J76" s="1">
        <f>VLOOKUP($H76,[1]Detail!$B:$R,14,0)</f>
        <v>2750136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f>VLOOKUP($H76,[1]Detail!$B:$AI,34,0)</f>
        <v>0</v>
      </c>
    </row>
    <row r="77" spans="1:21" x14ac:dyDescent="0.35">
      <c r="A77" s="2">
        <v>76</v>
      </c>
      <c r="B77" s="2">
        <v>2</v>
      </c>
      <c r="C77" s="2" t="s">
        <v>45</v>
      </c>
      <c r="D77" s="2" t="s">
        <v>46</v>
      </c>
      <c r="E77" s="2" t="s">
        <v>243</v>
      </c>
      <c r="F77" s="2" t="s">
        <v>38</v>
      </c>
      <c r="G77" s="2">
        <v>1761</v>
      </c>
      <c r="H77" s="2" t="s">
        <v>248</v>
      </c>
      <c r="I77" s="2" t="s">
        <v>249</v>
      </c>
      <c r="J77" s="1">
        <f>VLOOKUP($H77,[1]Detail!$B:$R,14,0)</f>
        <v>2750136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f>VLOOKUP($H77,[1]Detail!$B:$AI,34,0)</f>
        <v>0</v>
      </c>
    </row>
    <row r="78" spans="1:21" x14ac:dyDescent="0.35">
      <c r="A78" s="2">
        <v>77</v>
      </c>
      <c r="B78" s="2">
        <v>2</v>
      </c>
      <c r="C78" s="2" t="s">
        <v>73</v>
      </c>
      <c r="D78" s="2" t="s">
        <v>74</v>
      </c>
      <c r="E78" s="2" t="s">
        <v>75</v>
      </c>
      <c r="F78" s="2" t="s">
        <v>38</v>
      </c>
      <c r="G78" s="2">
        <v>1837</v>
      </c>
      <c r="H78" s="2" t="s">
        <v>250</v>
      </c>
      <c r="I78" s="2" t="s">
        <v>251</v>
      </c>
      <c r="J78" s="1">
        <f>VLOOKUP($H78,[1]Detail!$B:$R,14,0)</f>
        <v>2750136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f>VLOOKUP($H78,[1]Detail!$B:$AI,34,0)</f>
        <v>0</v>
      </c>
    </row>
    <row r="79" spans="1:21" x14ac:dyDescent="0.35">
      <c r="A79" s="2">
        <v>78</v>
      </c>
      <c r="B79" s="2">
        <v>2</v>
      </c>
      <c r="C79" s="2" t="s">
        <v>64</v>
      </c>
      <c r="D79" s="2" t="s">
        <v>78</v>
      </c>
      <c r="E79" s="2" t="s">
        <v>252</v>
      </c>
      <c r="F79" s="2" t="s">
        <v>38</v>
      </c>
      <c r="G79" s="2">
        <v>1838</v>
      </c>
      <c r="H79" s="2" t="s">
        <v>253</v>
      </c>
      <c r="I79" s="2" t="s">
        <v>254</v>
      </c>
      <c r="J79" s="1">
        <f>VLOOKUP($H79,[1]Detail!$B:$R,14,0)</f>
        <v>2750136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f>VLOOKUP($H79,[1]Detail!$B:$AI,34,0)</f>
        <v>0</v>
      </c>
    </row>
    <row r="80" spans="1:21" x14ac:dyDescent="0.35">
      <c r="A80" s="2">
        <v>79</v>
      </c>
      <c r="B80" s="2">
        <v>2</v>
      </c>
      <c r="C80" s="2" t="s">
        <v>64</v>
      </c>
      <c r="D80" s="2" t="s">
        <v>178</v>
      </c>
      <c r="E80" s="2" t="s">
        <v>179</v>
      </c>
      <c r="F80" s="2" t="s">
        <v>38</v>
      </c>
      <c r="G80" s="2">
        <v>8027</v>
      </c>
      <c r="H80" s="2" t="s">
        <v>255</v>
      </c>
      <c r="I80" s="2" t="s">
        <v>256</v>
      </c>
      <c r="J80" s="1">
        <f>VLOOKUP($H80,[1]Detail!$B:$R,14,0)</f>
        <v>2750136</v>
      </c>
      <c r="K80" s="1">
        <v>0</v>
      </c>
      <c r="L80" s="1">
        <v>250000</v>
      </c>
      <c r="M80" s="1">
        <v>0</v>
      </c>
      <c r="N80" s="1">
        <v>0</v>
      </c>
      <c r="O80" s="1">
        <v>0</v>
      </c>
      <c r="P80" s="1">
        <v>200000</v>
      </c>
      <c r="Q80" s="1">
        <v>0</v>
      </c>
      <c r="R80" s="1">
        <v>0</v>
      </c>
      <c r="S80" s="1">
        <v>0</v>
      </c>
      <c r="T80" s="1">
        <v>0</v>
      </c>
      <c r="U80" s="1">
        <f>VLOOKUP($H80,[1]Detail!$B:$AI,34,0)</f>
        <v>0</v>
      </c>
    </row>
    <row r="81" spans="1:21" x14ac:dyDescent="0.35">
      <c r="A81" s="2">
        <v>80</v>
      </c>
      <c r="B81" s="2">
        <v>2</v>
      </c>
      <c r="C81" s="2" t="s">
        <v>73</v>
      </c>
      <c r="D81" s="2" t="s">
        <v>74</v>
      </c>
      <c r="E81" s="2" t="s">
        <v>75</v>
      </c>
      <c r="F81" s="2" t="s">
        <v>38</v>
      </c>
      <c r="G81" s="2">
        <v>1040</v>
      </c>
      <c r="H81" s="2" t="s">
        <v>257</v>
      </c>
      <c r="I81" s="2" t="s">
        <v>258</v>
      </c>
      <c r="J81" s="1">
        <f>VLOOKUP($H81,[1]Detail!$B:$R,14,0)</f>
        <v>2750136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f>VLOOKUP($H81,[1]Detail!$B:$AI,34,0)</f>
        <v>0</v>
      </c>
    </row>
    <row r="82" spans="1:21" x14ac:dyDescent="0.35">
      <c r="A82" s="2">
        <v>81</v>
      </c>
      <c r="B82" s="2">
        <v>2</v>
      </c>
      <c r="C82" s="2" t="s">
        <v>64</v>
      </c>
      <c r="D82" s="2" t="s">
        <v>178</v>
      </c>
      <c r="E82" s="2" t="s">
        <v>179</v>
      </c>
      <c r="F82" s="2" t="s">
        <v>38</v>
      </c>
      <c r="G82" s="2">
        <v>1041</v>
      </c>
      <c r="H82" s="2" t="s">
        <v>259</v>
      </c>
      <c r="I82" s="2" t="s">
        <v>260</v>
      </c>
      <c r="J82" s="1">
        <f>VLOOKUP($H82,[1]Detail!$B:$R,14,0)</f>
        <v>2750136</v>
      </c>
      <c r="K82" s="1">
        <v>0</v>
      </c>
      <c r="L82" s="1">
        <v>250000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f>VLOOKUP($H82,[1]Detail!$B:$AI,34,0)</f>
        <v>60003</v>
      </c>
    </row>
    <row r="83" spans="1:21" x14ac:dyDescent="0.35">
      <c r="A83" s="2">
        <v>82</v>
      </c>
      <c r="B83" s="2">
        <v>2</v>
      </c>
      <c r="C83" s="2" t="s">
        <v>64</v>
      </c>
      <c r="D83" s="2" t="s">
        <v>78</v>
      </c>
      <c r="E83" s="2" t="s">
        <v>261</v>
      </c>
      <c r="F83" s="2" t="s">
        <v>42</v>
      </c>
      <c r="G83" s="2">
        <v>2247</v>
      </c>
      <c r="H83" s="2" t="s">
        <v>262</v>
      </c>
      <c r="I83" s="2" t="s">
        <v>263</v>
      </c>
      <c r="J83" s="1">
        <f>VLOOKUP($H83,[1]Detail!$B:$R,14,0)</f>
        <v>3408468</v>
      </c>
      <c r="K83" s="1">
        <v>500000</v>
      </c>
      <c r="L83" s="1">
        <v>500000</v>
      </c>
      <c r="M83" s="1">
        <v>11900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f>VLOOKUP($H83,[1]Detail!$B:$AI,34,0)</f>
        <v>0</v>
      </c>
    </row>
    <row r="84" spans="1:21" x14ac:dyDescent="0.35">
      <c r="A84" s="2">
        <v>83</v>
      </c>
      <c r="B84" s="2">
        <v>2</v>
      </c>
      <c r="C84" s="2" t="s">
        <v>50</v>
      </c>
      <c r="D84" s="2" t="s">
        <v>51</v>
      </c>
      <c r="E84" s="2" t="s">
        <v>264</v>
      </c>
      <c r="F84" s="2" t="s">
        <v>104</v>
      </c>
      <c r="G84" s="2">
        <v>4045</v>
      </c>
      <c r="H84" s="2" t="s">
        <v>265</v>
      </c>
      <c r="I84" s="2" t="s">
        <v>266</v>
      </c>
      <c r="J84" s="1">
        <f>VLOOKUP($H84,[1]Detail!$B:$R,14,0)</f>
        <v>4125000</v>
      </c>
      <c r="K84" s="1">
        <v>1000000</v>
      </c>
      <c r="L84" s="1">
        <v>0</v>
      </c>
      <c r="M84" s="1">
        <v>19000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f>VLOOKUP($H84,[1]Detail!$B:$AI,34,0)</f>
        <v>0</v>
      </c>
    </row>
    <row r="85" spans="1:21" x14ac:dyDescent="0.35">
      <c r="A85" s="2">
        <v>84</v>
      </c>
      <c r="B85" s="2">
        <v>2</v>
      </c>
      <c r="C85" s="2" t="s">
        <v>32</v>
      </c>
      <c r="D85" s="2" t="s">
        <v>267</v>
      </c>
      <c r="E85" s="2" t="s">
        <v>268</v>
      </c>
      <c r="F85" s="2" t="s">
        <v>42</v>
      </c>
      <c r="G85" s="2">
        <v>7859</v>
      </c>
      <c r="H85" s="2" t="s">
        <v>269</v>
      </c>
      <c r="I85" s="2" t="s">
        <v>270</v>
      </c>
      <c r="J85" s="1">
        <f>VLOOKUP($H85,[1]Detail!$B:$R,14,0)</f>
        <v>3300000</v>
      </c>
      <c r="K85" s="1">
        <v>500000</v>
      </c>
      <c r="L85" s="1">
        <v>0</v>
      </c>
      <c r="M85" s="1">
        <v>11900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f>VLOOKUP($H85,[1]Detail!$B:$AI,34,0)</f>
        <v>72000</v>
      </c>
    </row>
    <row r="86" spans="1:21" x14ac:dyDescent="0.35">
      <c r="A86" s="2">
        <v>85</v>
      </c>
      <c r="B86" s="2">
        <v>2</v>
      </c>
      <c r="C86" s="2" t="s">
        <v>73</v>
      </c>
      <c r="D86" s="2" t="s">
        <v>74</v>
      </c>
      <c r="E86" s="2" t="s">
        <v>75</v>
      </c>
      <c r="F86" s="2" t="s">
        <v>38</v>
      </c>
      <c r="G86" s="2">
        <v>1203</v>
      </c>
      <c r="H86" s="2" t="s">
        <v>271</v>
      </c>
      <c r="I86" s="2" t="s">
        <v>272</v>
      </c>
      <c r="J86" s="1">
        <f>VLOOKUP($H86,[1]Detail!$B:$R,14,0)</f>
        <v>2750136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f>VLOOKUP($H86,[1]Detail!$B:$AI,34,0)</f>
        <v>0</v>
      </c>
    </row>
    <row r="87" spans="1:21" x14ac:dyDescent="0.35">
      <c r="A87" s="2">
        <v>86</v>
      </c>
      <c r="B87" s="2">
        <v>2</v>
      </c>
      <c r="C87" s="2" t="s">
        <v>73</v>
      </c>
      <c r="D87" s="2" t="s">
        <v>74</v>
      </c>
      <c r="E87" s="2" t="s">
        <v>75</v>
      </c>
      <c r="F87" s="2" t="s">
        <v>38</v>
      </c>
      <c r="G87" s="2">
        <v>1204</v>
      </c>
      <c r="H87" s="2" t="s">
        <v>273</v>
      </c>
      <c r="I87" s="2" t="s">
        <v>274</v>
      </c>
      <c r="J87" s="1">
        <f>VLOOKUP($H87,[1]Detail!$B:$R,14,0)</f>
        <v>2750136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f>VLOOKUP($H87,[1]Detail!$B:$AI,34,0)</f>
        <v>0</v>
      </c>
    </row>
    <row r="88" spans="1:21" x14ac:dyDescent="0.35">
      <c r="A88" s="2">
        <v>87</v>
      </c>
      <c r="B88" s="2">
        <v>2</v>
      </c>
      <c r="C88" s="2" t="s">
        <v>73</v>
      </c>
      <c r="D88" s="2" t="s">
        <v>74</v>
      </c>
      <c r="E88" s="2" t="s">
        <v>75</v>
      </c>
      <c r="F88" s="2" t="s">
        <v>38</v>
      </c>
      <c r="G88" s="2">
        <v>1205</v>
      </c>
      <c r="H88" s="2" t="s">
        <v>275</v>
      </c>
      <c r="I88" s="2" t="s">
        <v>276</v>
      </c>
      <c r="J88" s="1">
        <f>VLOOKUP($H88,[1]Detail!$B:$R,14,0)</f>
        <v>2750136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f>VLOOKUP($H88,[1]Detail!$B:$AI,34,0)</f>
        <v>0</v>
      </c>
    </row>
    <row r="89" spans="1:21" x14ac:dyDescent="0.35">
      <c r="A89" s="2">
        <v>88</v>
      </c>
      <c r="B89" s="2">
        <v>2</v>
      </c>
      <c r="C89" s="2" t="s">
        <v>73</v>
      </c>
      <c r="D89" s="2" t="s">
        <v>74</v>
      </c>
      <c r="E89" s="2" t="s">
        <v>107</v>
      </c>
      <c r="F89" s="2" t="s">
        <v>38</v>
      </c>
      <c r="G89" s="2">
        <v>1207</v>
      </c>
      <c r="H89" s="2" t="s">
        <v>277</v>
      </c>
      <c r="I89" s="2" t="s">
        <v>278</v>
      </c>
      <c r="J89" s="1">
        <f>VLOOKUP($H89,[1]Detail!$B:$R,14,0)</f>
        <v>2750136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f>VLOOKUP($H89,[1]Detail!$B:$AI,34,0)</f>
        <v>0</v>
      </c>
    </row>
    <row r="90" spans="1:21" x14ac:dyDescent="0.35">
      <c r="A90" s="2">
        <v>89</v>
      </c>
      <c r="B90" s="2">
        <v>2</v>
      </c>
      <c r="C90" s="2" t="s">
        <v>50</v>
      </c>
      <c r="D90" s="2" t="s">
        <v>132</v>
      </c>
      <c r="E90" s="2" t="s">
        <v>279</v>
      </c>
      <c r="F90" s="2" t="s">
        <v>42</v>
      </c>
      <c r="G90" s="2">
        <v>2209</v>
      </c>
      <c r="H90" s="2" t="s">
        <v>280</v>
      </c>
      <c r="I90" s="2" t="s">
        <v>281</v>
      </c>
      <c r="J90" s="1">
        <f>VLOOKUP($H90,[1]Detail!$B:$R,14,0)</f>
        <v>2990000</v>
      </c>
      <c r="K90" s="1">
        <v>500000</v>
      </c>
      <c r="L90" s="1">
        <v>0</v>
      </c>
      <c r="M90" s="1">
        <v>11900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f>VLOOKUP($H90,[1]Detail!$B:$AI,34,0)</f>
        <v>0</v>
      </c>
    </row>
    <row r="91" spans="1:21" x14ac:dyDescent="0.35">
      <c r="A91" s="2">
        <v>90</v>
      </c>
      <c r="B91" s="2">
        <v>2</v>
      </c>
      <c r="C91" s="2" t="s">
        <v>45</v>
      </c>
      <c r="D91" s="2" t="s">
        <v>46</v>
      </c>
      <c r="E91" s="2" t="s">
        <v>47</v>
      </c>
      <c r="F91" s="2" t="s">
        <v>38</v>
      </c>
      <c r="G91" s="2">
        <v>1510</v>
      </c>
      <c r="H91" s="2" t="s">
        <v>282</v>
      </c>
      <c r="I91" s="2" t="s">
        <v>283</v>
      </c>
      <c r="J91" s="1">
        <f>VLOOKUP($H91,[1]Detail!$B:$R,14,0)</f>
        <v>2750136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f>VLOOKUP($H91,[1]Detail!$B:$AI,34,0)</f>
        <v>0</v>
      </c>
    </row>
    <row r="92" spans="1:21" x14ac:dyDescent="0.35">
      <c r="A92" s="2">
        <v>91</v>
      </c>
      <c r="B92" s="2">
        <v>2</v>
      </c>
      <c r="C92" s="2" t="s">
        <v>73</v>
      </c>
      <c r="D92" s="2" t="s">
        <v>84</v>
      </c>
      <c r="E92" s="2" t="s">
        <v>85</v>
      </c>
      <c r="F92" s="2" t="s">
        <v>38</v>
      </c>
      <c r="G92" s="2">
        <v>1641</v>
      </c>
      <c r="H92" s="2" t="s">
        <v>284</v>
      </c>
      <c r="I92" s="2" t="s">
        <v>285</v>
      </c>
      <c r="J92" s="1">
        <f>VLOOKUP($H92,[1]Detail!$B:$R,14,0)</f>
        <v>2750136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f>VLOOKUP($H92,[1]Detail!$B:$AI,34,0)</f>
        <v>0</v>
      </c>
    </row>
    <row r="93" spans="1:21" x14ac:dyDescent="0.35">
      <c r="A93" s="2">
        <v>92</v>
      </c>
      <c r="B93" s="2">
        <v>2</v>
      </c>
      <c r="C93" s="2" t="s">
        <v>73</v>
      </c>
      <c r="D93" s="2" t="s">
        <v>74</v>
      </c>
      <c r="E93" s="2" t="s">
        <v>107</v>
      </c>
      <c r="F93" s="2" t="s">
        <v>38</v>
      </c>
      <c r="G93" s="2">
        <v>1642</v>
      </c>
      <c r="H93" s="2" t="s">
        <v>286</v>
      </c>
      <c r="I93" s="2" t="s">
        <v>287</v>
      </c>
      <c r="J93" s="1">
        <f>VLOOKUP($H93,[1]Detail!$B:$R,14,0)</f>
        <v>2750136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f>VLOOKUP($H93,[1]Detail!$B:$AI,34,0)</f>
        <v>0</v>
      </c>
    </row>
    <row r="94" spans="1:21" x14ac:dyDescent="0.35">
      <c r="A94" s="2">
        <v>93</v>
      </c>
      <c r="B94" s="2">
        <v>2</v>
      </c>
      <c r="C94" s="2" t="s">
        <v>45</v>
      </c>
      <c r="D94" s="2" t="s">
        <v>128</v>
      </c>
      <c r="E94" s="2" t="s">
        <v>288</v>
      </c>
      <c r="F94" s="2" t="s">
        <v>38</v>
      </c>
      <c r="G94" s="2">
        <v>1643</v>
      </c>
      <c r="H94" s="2" t="s">
        <v>289</v>
      </c>
      <c r="I94" s="2" t="s">
        <v>290</v>
      </c>
      <c r="J94" s="1">
        <f>VLOOKUP($H94,[1]Detail!$B:$R,14,0)</f>
        <v>2940000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200000</v>
      </c>
      <c r="Q94" s="1">
        <v>0</v>
      </c>
      <c r="R94" s="1">
        <v>0</v>
      </c>
      <c r="S94" s="1">
        <v>0</v>
      </c>
      <c r="T94" s="1">
        <v>0</v>
      </c>
      <c r="U94" s="1">
        <f>VLOOKUP($H94,[1]Detail!$B:$AI,34,0)</f>
        <v>0</v>
      </c>
    </row>
    <row r="95" spans="1:21" x14ac:dyDescent="0.35">
      <c r="A95" s="2">
        <v>94</v>
      </c>
      <c r="B95" s="2">
        <v>2</v>
      </c>
      <c r="C95" s="2" t="s">
        <v>45</v>
      </c>
      <c r="D95" s="2" t="s">
        <v>128</v>
      </c>
      <c r="E95" s="2" t="s">
        <v>291</v>
      </c>
      <c r="F95" s="2" t="s">
        <v>38</v>
      </c>
      <c r="G95" s="2">
        <v>1644</v>
      </c>
      <c r="H95" s="2" t="s">
        <v>292</v>
      </c>
      <c r="I95" s="2" t="s">
        <v>293</v>
      </c>
      <c r="J95" s="1">
        <f>VLOOKUP($H95,[1]Detail!$B:$R,14,0)</f>
        <v>2750136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f>VLOOKUP($H95,[1]Detail!$B:$AI,34,0)</f>
        <v>0</v>
      </c>
    </row>
    <row r="96" spans="1:21" x14ac:dyDescent="0.35">
      <c r="A96" s="2">
        <v>95</v>
      </c>
      <c r="B96" s="2">
        <v>2</v>
      </c>
      <c r="C96" s="2" t="s">
        <v>73</v>
      </c>
      <c r="D96" s="2" t="s">
        <v>74</v>
      </c>
      <c r="E96" s="2" t="s">
        <v>75</v>
      </c>
      <c r="F96" s="2" t="s">
        <v>38</v>
      </c>
      <c r="G96" s="2">
        <v>1716</v>
      </c>
      <c r="H96" s="2" t="s">
        <v>294</v>
      </c>
      <c r="I96" s="2" t="s">
        <v>295</v>
      </c>
      <c r="J96" s="1">
        <f>VLOOKUP($H96,[1]Detail!$B:$R,14,0)</f>
        <v>2750136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f>VLOOKUP($H96,[1]Detail!$B:$AI,34,0)</f>
        <v>0</v>
      </c>
    </row>
    <row r="97" spans="1:21" x14ac:dyDescent="0.35">
      <c r="A97" s="2">
        <v>96</v>
      </c>
      <c r="B97" s="2">
        <v>2</v>
      </c>
      <c r="C97" s="2" t="s">
        <v>64</v>
      </c>
      <c r="D97" s="2" t="s">
        <v>178</v>
      </c>
      <c r="E97" s="2" t="s">
        <v>296</v>
      </c>
      <c r="F97" s="2" t="s">
        <v>38</v>
      </c>
      <c r="G97" s="2">
        <v>1717</v>
      </c>
      <c r="H97" s="2" t="s">
        <v>297</v>
      </c>
      <c r="I97" s="2" t="s">
        <v>298</v>
      </c>
      <c r="J97" s="1">
        <f>VLOOKUP($H97,[1]Detail!$B:$R,14,0)</f>
        <v>2750136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f>VLOOKUP($H97,[1]Detail!$B:$AI,34,0)</f>
        <v>0</v>
      </c>
    </row>
    <row r="98" spans="1:21" x14ac:dyDescent="0.35">
      <c r="A98" s="2">
        <v>97</v>
      </c>
      <c r="B98" s="2">
        <v>2</v>
      </c>
      <c r="C98" s="2" t="s">
        <v>45</v>
      </c>
      <c r="D98" s="2" t="s">
        <v>46</v>
      </c>
      <c r="E98" s="2" t="s">
        <v>47</v>
      </c>
      <c r="F98" s="2" t="s">
        <v>38</v>
      </c>
      <c r="G98" s="2">
        <v>1718</v>
      </c>
      <c r="H98" s="2" t="s">
        <v>299</v>
      </c>
      <c r="I98" s="2" t="s">
        <v>300</v>
      </c>
      <c r="J98" s="1">
        <f>VLOOKUP($H98,[1]Detail!$B:$R,14,0)</f>
        <v>2750136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f>VLOOKUP($H98,[1]Detail!$B:$AI,34,0)</f>
        <v>0</v>
      </c>
    </row>
    <row r="99" spans="1:21" x14ac:dyDescent="0.35">
      <c r="A99" s="2">
        <v>98</v>
      </c>
      <c r="B99" s="2">
        <v>2</v>
      </c>
      <c r="C99" s="2" t="s">
        <v>45</v>
      </c>
      <c r="D99" s="2" t="s">
        <v>46</v>
      </c>
      <c r="E99" s="2" t="s">
        <v>47</v>
      </c>
      <c r="F99" s="2" t="s">
        <v>38</v>
      </c>
      <c r="G99" s="2">
        <v>1719</v>
      </c>
      <c r="H99" s="2" t="s">
        <v>301</v>
      </c>
      <c r="I99" s="2" t="s">
        <v>302</v>
      </c>
      <c r="J99" s="1">
        <f>VLOOKUP($H99,[1]Detail!$B:$R,14,0)</f>
        <v>2750136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f>VLOOKUP($H99,[1]Detail!$B:$AI,34,0)</f>
        <v>0</v>
      </c>
    </row>
    <row r="100" spans="1:21" x14ac:dyDescent="0.35">
      <c r="A100" s="2">
        <v>99</v>
      </c>
      <c r="B100" s="2">
        <v>2</v>
      </c>
      <c r="C100" s="2" t="s">
        <v>45</v>
      </c>
      <c r="D100" s="2" t="s">
        <v>46</v>
      </c>
      <c r="E100" s="2" t="s">
        <v>47</v>
      </c>
      <c r="F100" s="2" t="s">
        <v>38</v>
      </c>
      <c r="G100" s="2">
        <v>1720</v>
      </c>
      <c r="H100" s="2" t="s">
        <v>303</v>
      </c>
      <c r="I100" s="2" t="s">
        <v>304</v>
      </c>
      <c r="J100" s="1">
        <f>VLOOKUP($H100,[1]Detail!$B:$R,14,0)</f>
        <v>2750136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f>VLOOKUP($H100,[1]Detail!$B:$AI,34,0)</f>
        <v>0</v>
      </c>
    </row>
    <row r="101" spans="1:21" x14ac:dyDescent="0.35">
      <c r="A101" s="2">
        <v>100</v>
      </c>
      <c r="B101" s="2">
        <v>2</v>
      </c>
      <c r="C101" s="2" t="s">
        <v>32</v>
      </c>
      <c r="D101" s="2" t="s">
        <v>267</v>
      </c>
      <c r="E101" s="2" t="s">
        <v>305</v>
      </c>
      <c r="F101" s="2" t="s">
        <v>42</v>
      </c>
      <c r="G101" s="2">
        <v>1839</v>
      </c>
      <c r="H101" s="2" t="s">
        <v>306</v>
      </c>
      <c r="I101" s="2" t="s">
        <v>307</v>
      </c>
      <c r="J101" s="1">
        <f>VLOOKUP($H101,[1]Detail!$B:$R,14,0)</f>
        <v>3000000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f>VLOOKUP($H101,[1]Detail!$B:$AI,34,0)</f>
        <v>0</v>
      </c>
    </row>
    <row r="102" spans="1:21" x14ac:dyDescent="0.35">
      <c r="A102" s="2">
        <v>101</v>
      </c>
      <c r="B102" s="2">
        <v>2</v>
      </c>
      <c r="C102" s="2" t="s">
        <v>32</v>
      </c>
      <c r="D102" s="2" t="s">
        <v>267</v>
      </c>
      <c r="E102" s="2" t="s">
        <v>305</v>
      </c>
      <c r="F102" s="2" t="s">
        <v>42</v>
      </c>
      <c r="G102" s="2">
        <v>1840</v>
      </c>
      <c r="H102" s="2" t="s">
        <v>308</v>
      </c>
      <c r="I102" s="2" t="s">
        <v>309</v>
      </c>
      <c r="J102" s="1">
        <f>VLOOKUP($H102,[1]Detail!$B:$R,14,0)</f>
        <v>3500000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f>VLOOKUP($H102,[1]Detail!$B:$AI,34,0)</f>
        <v>0</v>
      </c>
    </row>
    <row r="103" spans="1:21" x14ac:dyDescent="0.35">
      <c r="A103" s="2">
        <v>102</v>
      </c>
      <c r="B103" s="2">
        <v>2</v>
      </c>
      <c r="C103" s="2" t="s">
        <v>45</v>
      </c>
      <c r="D103" s="2" t="s">
        <v>128</v>
      </c>
      <c r="E103" s="2" t="s">
        <v>310</v>
      </c>
      <c r="F103" s="2" t="s">
        <v>42</v>
      </c>
      <c r="G103" s="2">
        <v>1842</v>
      </c>
      <c r="H103" s="2" t="s">
        <v>311</v>
      </c>
      <c r="I103" s="2" t="s">
        <v>312</v>
      </c>
      <c r="J103" s="1">
        <f>VLOOKUP($H103,[1]Detail!$B:$R,14,0)</f>
        <v>1750000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f>VLOOKUP($H103,[1]Detail!$B:$AI,34,0)</f>
        <v>0</v>
      </c>
    </row>
    <row r="104" spans="1:21" x14ac:dyDescent="0.35">
      <c r="A104" s="2">
        <v>103</v>
      </c>
      <c r="B104" s="2">
        <v>2</v>
      </c>
      <c r="C104" s="2" t="s">
        <v>45</v>
      </c>
      <c r="D104" s="2" t="s">
        <v>46</v>
      </c>
      <c r="E104" s="2" t="s">
        <v>243</v>
      </c>
      <c r="F104" s="2" t="s">
        <v>38</v>
      </c>
      <c r="G104" s="2">
        <v>1844</v>
      </c>
      <c r="H104" s="2" t="s">
        <v>313</v>
      </c>
      <c r="I104" s="2" t="s">
        <v>314</v>
      </c>
      <c r="J104" s="1">
        <f>VLOOKUP($H104,[1]Detail!$B:$R,14,0)</f>
        <v>1375068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f>VLOOKUP($H104,[1]Detail!$B:$AI,34,0)</f>
        <v>0</v>
      </c>
    </row>
    <row r="105" spans="1:21" x14ac:dyDescent="0.35">
      <c r="A105" s="2">
        <v>104</v>
      </c>
      <c r="B105" s="2">
        <v>2</v>
      </c>
      <c r="C105" s="2" t="s">
        <v>45</v>
      </c>
      <c r="D105" s="2" t="s">
        <v>46</v>
      </c>
      <c r="E105" s="2" t="s">
        <v>243</v>
      </c>
      <c r="F105" s="2" t="s">
        <v>38</v>
      </c>
      <c r="G105" s="2">
        <v>1845</v>
      </c>
      <c r="H105" s="2" t="s">
        <v>315</v>
      </c>
      <c r="I105" s="2" t="s">
        <v>316</v>
      </c>
      <c r="J105" s="1">
        <f>VLOOKUP($H105,[1]Detail!$B:$R,14,0)</f>
        <v>1375068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f>VLOOKUP($H105,[1]Detail!$B:$AI,34,0)</f>
        <v>0</v>
      </c>
    </row>
    <row r="106" spans="1:21" x14ac:dyDescent="0.35">
      <c r="A106" s="2">
        <v>105</v>
      </c>
      <c r="B106" s="2">
        <v>2</v>
      </c>
      <c r="C106" s="2" t="s">
        <v>45</v>
      </c>
      <c r="D106" s="2" t="s">
        <v>46</v>
      </c>
      <c r="E106" s="2" t="s">
        <v>243</v>
      </c>
      <c r="F106" s="2" t="s">
        <v>38</v>
      </c>
      <c r="G106" s="2">
        <v>1846</v>
      </c>
      <c r="H106" s="2" t="s">
        <v>317</v>
      </c>
      <c r="I106" s="2" t="s">
        <v>318</v>
      </c>
      <c r="J106" s="1">
        <f>VLOOKUP($H106,[1]Detail!$B:$R,14,0)</f>
        <v>1375068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f>VLOOKUP($H106,[1]Detail!$B:$AI,34,0)</f>
        <v>0</v>
      </c>
    </row>
    <row r="107" spans="1:21" x14ac:dyDescent="0.35">
      <c r="A107" s="2">
        <v>106</v>
      </c>
      <c r="B107" s="2">
        <v>2</v>
      </c>
      <c r="C107" s="2" t="s">
        <v>64</v>
      </c>
      <c r="D107" s="2" t="s">
        <v>178</v>
      </c>
      <c r="E107" s="2" t="s">
        <v>319</v>
      </c>
      <c r="F107" s="2" t="s">
        <v>104</v>
      </c>
      <c r="G107" s="2">
        <v>5581</v>
      </c>
      <c r="H107" s="2" t="s">
        <v>320</v>
      </c>
      <c r="I107" s="2" t="s">
        <v>321</v>
      </c>
      <c r="J107" s="1">
        <f>VLOOKUP($H107,[1]Detail!$B:$R,14,0)</f>
        <v>5237677</v>
      </c>
      <c r="K107" s="1">
        <v>1000000</v>
      </c>
      <c r="L107" s="1">
        <v>300000</v>
      </c>
      <c r="M107" s="1">
        <v>19000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f>VLOOKUP($H107,[1]Detail!$B:$AI,34,0)</f>
        <v>0</v>
      </c>
    </row>
    <row r="108" spans="1:21" x14ac:dyDescent="0.35">
      <c r="A108" s="2">
        <v>107</v>
      </c>
      <c r="B108" s="2">
        <v>2</v>
      </c>
      <c r="C108" s="2" t="s">
        <v>73</v>
      </c>
      <c r="D108" s="2" t="s">
        <v>84</v>
      </c>
      <c r="E108" s="2" t="s">
        <v>322</v>
      </c>
      <c r="F108" s="2" t="s">
        <v>42</v>
      </c>
      <c r="G108" s="2">
        <v>1006</v>
      </c>
      <c r="H108" s="2" t="s">
        <v>323</v>
      </c>
      <c r="I108" s="2" t="s">
        <v>324</v>
      </c>
      <c r="J108" s="1">
        <f>VLOOKUP($H108,[1]Detail!$B:$R,14,0)</f>
        <v>3099600</v>
      </c>
      <c r="K108" s="1">
        <v>500000</v>
      </c>
      <c r="L108" s="1">
        <v>0</v>
      </c>
      <c r="M108" s="1">
        <v>11900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f>VLOOKUP($H108,[1]Detail!$B:$AI,34,0)</f>
        <v>0</v>
      </c>
    </row>
    <row r="109" spans="1:21" x14ac:dyDescent="0.35">
      <c r="A109" s="2">
        <v>108</v>
      </c>
      <c r="B109" s="2">
        <v>2</v>
      </c>
      <c r="C109" s="2" t="s">
        <v>21</v>
      </c>
      <c r="D109" s="2" t="s">
        <v>182</v>
      </c>
      <c r="E109" s="2" t="s">
        <v>325</v>
      </c>
      <c r="F109" s="2" t="s">
        <v>24</v>
      </c>
      <c r="G109" s="2">
        <v>1909</v>
      </c>
      <c r="H109" s="2" t="s">
        <v>326</v>
      </c>
      <c r="I109" s="2" t="s">
        <v>327</v>
      </c>
      <c r="J109" s="1">
        <f>VLOOKUP($H109,[1]Detail!$B:$R,14,0)</f>
        <v>10184112</v>
      </c>
      <c r="K109" s="1">
        <v>2000000</v>
      </c>
      <c r="L109" s="1">
        <v>0</v>
      </c>
      <c r="M109" s="1">
        <v>47600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f>VLOOKUP($H109,[1]Detail!$B:$AI,34,0)</f>
        <v>0</v>
      </c>
    </row>
    <row r="110" spans="1:21" x14ac:dyDescent="0.35">
      <c r="A110" s="2">
        <v>109</v>
      </c>
      <c r="B110" s="2">
        <v>2</v>
      </c>
      <c r="C110" s="2" t="s">
        <v>21</v>
      </c>
      <c r="D110" s="2" t="s">
        <v>74</v>
      </c>
      <c r="E110" s="2" t="s">
        <v>328</v>
      </c>
      <c r="F110" s="2" t="s">
        <v>24</v>
      </c>
      <c r="G110" s="2">
        <v>3204</v>
      </c>
      <c r="H110" s="2" t="s">
        <v>329</v>
      </c>
      <c r="I110" s="2" t="s">
        <v>330</v>
      </c>
      <c r="J110" s="1">
        <f>VLOOKUP($H110,[1]Detail!$B:$R,14,0)</f>
        <v>6157562</v>
      </c>
      <c r="K110" s="1">
        <v>2000000</v>
      </c>
      <c r="L110" s="1">
        <v>0</v>
      </c>
      <c r="M110" s="1">
        <v>47600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f>VLOOKUP($H110,[1]Detail!$B:$AI,34,0)</f>
        <v>0</v>
      </c>
    </row>
    <row r="111" spans="1:21" x14ac:dyDescent="0.35">
      <c r="A111" s="2">
        <v>110</v>
      </c>
      <c r="B111" s="2">
        <v>2</v>
      </c>
      <c r="C111" s="2" t="s">
        <v>45</v>
      </c>
      <c r="D111" s="2" t="s">
        <v>128</v>
      </c>
      <c r="E111" s="2" t="s">
        <v>288</v>
      </c>
      <c r="F111" s="2" t="s">
        <v>38</v>
      </c>
      <c r="G111" s="2">
        <v>1044</v>
      </c>
      <c r="H111" s="2" t="s">
        <v>331</v>
      </c>
      <c r="I111" s="2" t="s">
        <v>332</v>
      </c>
      <c r="J111" s="1">
        <f>VLOOKUP($H111,[1]Detail!$B:$R,14,0)</f>
        <v>3027254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200000</v>
      </c>
      <c r="Q111" s="1">
        <v>0</v>
      </c>
      <c r="R111" s="1">
        <v>0</v>
      </c>
      <c r="S111" s="1">
        <v>0</v>
      </c>
      <c r="T111" s="1">
        <v>0</v>
      </c>
      <c r="U111" s="1">
        <f>VLOOKUP($H111,[1]Detail!$B:$AI,34,0)</f>
        <v>0</v>
      </c>
    </row>
    <row r="112" spans="1:21" x14ac:dyDescent="0.35">
      <c r="A112" s="2">
        <v>111</v>
      </c>
      <c r="B112" s="2">
        <v>2</v>
      </c>
      <c r="C112" s="2" t="s">
        <v>32</v>
      </c>
      <c r="D112" s="2" t="s">
        <v>36</v>
      </c>
      <c r="E112" s="2" t="s">
        <v>141</v>
      </c>
      <c r="F112" s="2" t="s">
        <v>38</v>
      </c>
      <c r="G112" s="2">
        <v>1218</v>
      </c>
      <c r="H112" s="2" t="s">
        <v>333</v>
      </c>
      <c r="I112" s="2" t="s">
        <v>334</v>
      </c>
      <c r="J112" s="1">
        <f>VLOOKUP($H112,[1]Detail!$B:$R,14,0)</f>
        <v>2750136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f>VLOOKUP($H112,[1]Detail!$B:$AI,34,0)</f>
        <v>0</v>
      </c>
    </row>
    <row r="113" spans="1:21" x14ac:dyDescent="0.35">
      <c r="A113" s="2">
        <v>112</v>
      </c>
      <c r="B113" s="2">
        <v>2</v>
      </c>
      <c r="C113" s="2" t="s">
        <v>64</v>
      </c>
      <c r="D113" s="2" t="s">
        <v>78</v>
      </c>
      <c r="E113" s="2" t="s">
        <v>79</v>
      </c>
      <c r="F113" s="2" t="s">
        <v>38</v>
      </c>
      <c r="G113" s="2">
        <v>1220</v>
      </c>
      <c r="H113" s="2" t="s">
        <v>335</v>
      </c>
      <c r="I113" s="2" t="s">
        <v>336</v>
      </c>
      <c r="J113" s="1">
        <f>VLOOKUP($H113,[1]Detail!$B:$R,14,0)</f>
        <v>2750136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f>VLOOKUP($H113,[1]Detail!$B:$AI,34,0)</f>
        <v>0</v>
      </c>
    </row>
    <row r="114" spans="1:21" x14ac:dyDescent="0.35">
      <c r="A114" s="2">
        <v>113</v>
      </c>
      <c r="B114" s="2">
        <v>2</v>
      </c>
      <c r="C114" s="2" t="s">
        <v>73</v>
      </c>
      <c r="D114" s="2" t="s">
        <v>74</v>
      </c>
      <c r="E114" s="2" t="s">
        <v>107</v>
      </c>
      <c r="F114" s="2" t="s">
        <v>38</v>
      </c>
      <c r="G114" s="2">
        <v>1224</v>
      </c>
      <c r="H114" s="2" t="s">
        <v>337</v>
      </c>
      <c r="I114" s="2" t="s">
        <v>338</v>
      </c>
      <c r="J114" s="1">
        <f>VLOOKUP($H114,[1]Detail!$B:$R,14,0)</f>
        <v>2750136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f>VLOOKUP($H114,[1]Detail!$B:$AI,34,0)</f>
        <v>0</v>
      </c>
    </row>
    <row r="115" spans="1:21" x14ac:dyDescent="0.35">
      <c r="A115" s="2">
        <v>114</v>
      </c>
      <c r="B115" s="2">
        <v>2</v>
      </c>
      <c r="C115" s="2" t="s">
        <v>73</v>
      </c>
      <c r="D115" s="2" t="s">
        <v>74</v>
      </c>
      <c r="E115" s="2" t="s">
        <v>75</v>
      </c>
      <c r="F115" s="2" t="s">
        <v>38</v>
      </c>
      <c r="G115" s="2">
        <v>1225</v>
      </c>
      <c r="H115" s="2" t="s">
        <v>339</v>
      </c>
      <c r="I115" s="2" t="s">
        <v>340</v>
      </c>
      <c r="J115" s="1">
        <f>VLOOKUP($H115,[1]Detail!$B:$R,14,0)</f>
        <v>2750136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f>VLOOKUP($H115,[1]Detail!$B:$AI,34,0)</f>
        <v>0</v>
      </c>
    </row>
    <row r="116" spans="1:21" x14ac:dyDescent="0.35">
      <c r="A116" s="2">
        <v>115</v>
      </c>
      <c r="B116" s="2">
        <v>2</v>
      </c>
      <c r="C116" s="2" t="s">
        <v>73</v>
      </c>
      <c r="D116" s="2" t="s">
        <v>74</v>
      </c>
      <c r="E116" s="2" t="s">
        <v>75</v>
      </c>
      <c r="F116" s="2" t="s">
        <v>38</v>
      </c>
      <c r="G116" s="2">
        <v>1228</v>
      </c>
      <c r="H116" s="2" t="s">
        <v>341</v>
      </c>
      <c r="I116" s="2" t="s">
        <v>342</v>
      </c>
      <c r="J116" s="1">
        <f>VLOOKUP($H116,[1]Detail!$B:$R,14,0)</f>
        <v>2750136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f>VLOOKUP($H116,[1]Detail!$B:$AI,34,0)</f>
        <v>0</v>
      </c>
    </row>
    <row r="117" spans="1:21" x14ac:dyDescent="0.35">
      <c r="A117" s="2">
        <v>116</v>
      </c>
      <c r="B117" s="2">
        <v>2</v>
      </c>
      <c r="C117" s="2" t="s">
        <v>73</v>
      </c>
      <c r="D117" s="2" t="s">
        <v>74</v>
      </c>
      <c r="E117" s="2" t="s">
        <v>75</v>
      </c>
      <c r="F117" s="2" t="s">
        <v>38</v>
      </c>
      <c r="G117" s="2">
        <v>1229</v>
      </c>
      <c r="H117" s="2" t="s">
        <v>343</v>
      </c>
      <c r="I117" s="2" t="s">
        <v>344</v>
      </c>
      <c r="J117" s="1">
        <f>VLOOKUP($H117,[1]Detail!$B:$R,14,0)</f>
        <v>2750136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f>VLOOKUP($H117,[1]Detail!$B:$AI,34,0)</f>
        <v>0</v>
      </c>
    </row>
    <row r="118" spans="1:21" x14ac:dyDescent="0.35">
      <c r="A118" s="2">
        <v>117</v>
      </c>
      <c r="B118" s="2">
        <v>2</v>
      </c>
      <c r="C118" s="2" t="s">
        <v>73</v>
      </c>
      <c r="D118" s="2" t="s">
        <v>74</v>
      </c>
      <c r="E118" s="2" t="s">
        <v>75</v>
      </c>
      <c r="F118" s="2" t="s">
        <v>38</v>
      </c>
      <c r="G118" s="2">
        <v>1230</v>
      </c>
      <c r="H118" s="2" t="s">
        <v>345</v>
      </c>
      <c r="I118" s="2" t="s">
        <v>346</v>
      </c>
      <c r="J118" s="1">
        <f>VLOOKUP($H118,[1]Detail!$B:$R,14,0)</f>
        <v>2750136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f>VLOOKUP($H118,[1]Detail!$B:$AI,34,0)</f>
        <v>0</v>
      </c>
    </row>
    <row r="119" spans="1:21" x14ac:dyDescent="0.35">
      <c r="A119" s="2">
        <v>118</v>
      </c>
      <c r="B119" s="2">
        <v>2</v>
      </c>
      <c r="C119" s="2" t="s">
        <v>73</v>
      </c>
      <c r="D119" s="2" t="s">
        <v>74</v>
      </c>
      <c r="E119" s="2" t="s">
        <v>75</v>
      </c>
      <c r="F119" s="2" t="s">
        <v>38</v>
      </c>
      <c r="G119" s="2">
        <v>1231</v>
      </c>
      <c r="H119" s="2" t="s">
        <v>347</v>
      </c>
      <c r="I119" s="2" t="s">
        <v>348</v>
      </c>
      <c r="J119" s="1">
        <f>VLOOKUP($H119,[1]Detail!$B:$R,14,0)</f>
        <v>2750136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f>VLOOKUP($H119,[1]Detail!$B:$AI,34,0)</f>
        <v>0</v>
      </c>
    </row>
    <row r="120" spans="1:21" x14ac:dyDescent="0.35">
      <c r="A120" s="2">
        <v>119</v>
      </c>
      <c r="B120" s="2">
        <v>2</v>
      </c>
      <c r="C120" s="2" t="s">
        <v>45</v>
      </c>
      <c r="D120" s="2" t="s">
        <v>46</v>
      </c>
      <c r="E120" s="2" t="s">
        <v>47</v>
      </c>
      <c r="F120" s="2" t="s">
        <v>38</v>
      </c>
      <c r="G120" s="2">
        <v>1232</v>
      </c>
      <c r="H120" s="2" t="s">
        <v>349</v>
      </c>
      <c r="I120" s="2" t="s">
        <v>350</v>
      </c>
      <c r="J120" s="1">
        <f>VLOOKUP($H120,[1]Detail!$B:$R,14,0)</f>
        <v>2750136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f>VLOOKUP($H120,[1]Detail!$B:$AI,34,0)</f>
        <v>0</v>
      </c>
    </row>
    <row r="121" spans="1:21" x14ac:dyDescent="0.35">
      <c r="A121" s="2">
        <v>120</v>
      </c>
      <c r="B121" s="2">
        <v>2</v>
      </c>
      <c r="C121" s="2" t="s">
        <v>45</v>
      </c>
      <c r="D121" s="2" t="s">
        <v>128</v>
      </c>
      <c r="E121" s="2" t="s">
        <v>291</v>
      </c>
      <c r="F121" s="2" t="s">
        <v>38</v>
      </c>
      <c r="G121" s="2">
        <v>1233</v>
      </c>
      <c r="H121" s="2" t="s">
        <v>351</v>
      </c>
      <c r="I121" s="2" t="s">
        <v>352</v>
      </c>
      <c r="J121" s="1">
        <f>VLOOKUP($H121,[1]Detail!$B:$R,14,0)</f>
        <v>2750136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f>VLOOKUP($H121,[1]Detail!$B:$AI,34,0)</f>
        <v>0</v>
      </c>
    </row>
    <row r="122" spans="1:21" x14ac:dyDescent="0.35">
      <c r="A122" s="2">
        <v>121</v>
      </c>
      <c r="B122" s="2">
        <v>2</v>
      </c>
      <c r="C122" s="2" t="s">
        <v>45</v>
      </c>
      <c r="D122" s="2" t="s">
        <v>69</v>
      </c>
      <c r="E122" s="2" t="s">
        <v>353</v>
      </c>
      <c r="F122" s="2" t="s">
        <v>42</v>
      </c>
      <c r="G122" s="2">
        <v>1234</v>
      </c>
      <c r="H122" s="2" t="s">
        <v>354</v>
      </c>
      <c r="I122" s="2" t="s">
        <v>355</v>
      </c>
      <c r="J122" s="1">
        <f>VLOOKUP($H122,[1]Detail!$B:$R,14,0)</f>
        <v>2800000</v>
      </c>
      <c r="K122" s="1">
        <v>500000</v>
      </c>
      <c r="L122" s="1">
        <v>0</v>
      </c>
      <c r="M122" s="1">
        <v>11900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f>VLOOKUP($H122,[1]Detail!$B:$AI,34,0)</f>
        <v>0</v>
      </c>
    </row>
    <row r="123" spans="1:21" x14ac:dyDescent="0.35">
      <c r="A123" s="2">
        <v>122</v>
      </c>
      <c r="B123" s="2">
        <v>2</v>
      </c>
      <c r="C123" s="2" t="s">
        <v>45</v>
      </c>
      <c r="D123" s="2" t="s">
        <v>46</v>
      </c>
      <c r="E123" s="2" t="s">
        <v>47</v>
      </c>
      <c r="F123" s="2" t="s">
        <v>38</v>
      </c>
      <c r="G123" s="2">
        <v>1236</v>
      </c>
      <c r="H123" s="2" t="s">
        <v>356</v>
      </c>
      <c r="I123" s="2" t="s">
        <v>357</v>
      </c>
      <c r="J123" s="1">
        <f>VLOOKUP($H123,[1]Detail!$B:$R,14,0)</f>
        <v>2750136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f>VLOOKUP($H123,[1]Detail!$B:$AI,34,0)</f>
        <v>0</v>
      </c>
    </row>
    <row r="124" spans="1:21" x14ac:dyDescent="0.35">
      <c r="A124" s="2">
        <v>123</v>
      </c>
      <c r="B124" s="2">
        <v>2</v>
      </c>
      <c r="C124" s="2" t="s">
        <v>45</v>
      </c>
      <c r="D124" s="2" t="s">
        <v>46</v>
      </c>
      <c r="E124" s="2" t="s">
        <v>358</v>
      </c>
      <c r="F124" s="2" t="s">
        <v>38</v>
      </c>
      <c r="G124" s="2">
        <v>1237</v>
      </c>
      <c r="H124" s="2" t="s">
        <v>359</v>
      </c>
      <c r="I124" s="2" t="s">
        <v>360</v>
      </c>
      <c r="J124" s="1">
        <f>VLOOKUP($H124,[1]Detail!$B:$R,14,0)</f>
        <v>2750136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f>VLOOKUP($H124,[1]Detail!$B:$AI,34,0)</f>
        <v>0</v>
      </c>
    </row>
    <row r="125" spans="1:21" x14ac:dyDescent="0.35">
      <c r="A125" s="2">
        <v>124</v>
      </c>
      <c r="B125" s="2">
        <v>2</v>
      </c>
      <c r="C125" s="2" t="s">
        <v>45</v>
      </c>
      <c r="D125" s="2" t="s">
        <v>46</v>
      </c>
      <c r="E125" s="2" t="s">
        <v>47</v>
      </c>
      <c r="F125" s="2" t="s">
        <v>38</v>
      </c>
      <c r="G125" s="2">
        <v>1238</v>
      </c>
      <c r="H125" s="2" t="s">
        <v>361</v>
      </c>
      <c r="I125" s="2" t="s">
        <v>362</v>
      </c>
      <c r="J125" s="1">
        <f>VLOOKUP($H125,[1]Detail!$B:$R,14,0)</f>
        <v>2750136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f>VLOOKUP($H125,[1]Detail!$B:$AI,34,0)</f>
        <v>0</v>
      </c>
    </row>
    <row r="126" spans="1:21" x14ac:dyDescent="0.35">
      <c r="A126" s="2">
        <v>125</v>
      </c>
      <c r="B126" s="2">
        <v>2</v>
      </c>
      <c r="C126" s="2" t="s">
        <v>45</v>
      </c>
      <c r="D126" s="2" t="s">
        <v>46</v>
      </c>
      <c r="E126" s="2" t="s">
        <v>47</v>
      </c>
      <c r="F126" s="2" t="s">
        <v>38</v>
      </c>
      <c r="G126" s="2">
        <v>1239</v>
      </c>
      <c r="H126" s="2" t="s">
        <v>363</v>
      </c>
      <c r="I126" s="2" t="s">
        <v>364</v>
      </c>
      <c r="J126" s="1">
        <f>VLOOKUP($H126,[1]Detail!$B:$R,14,0)</f>
        <v>2750136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f>VLOOKUP($H126,[1]Detail!$B:$AI,34,0)</f>
        <v>0</v>
      </c>
    </row>
    <row r="127" spans="1:21" x14ac:dyDescent="0.35">
      <c r="A127" s="2">
        <v>126</v>
      </c>
      <c r="B127" s="2">
        <v>2</v>
      </c>
      <c r="C127" s="2" t="s">
        <v>144</v>
      </c>
      <c r="D127" s="2" t="s">
        <v>165</v>
      </c>
      <c r="E127" s="2" t="s">
        <v>365</v>
      </c>
      <c r="F127" s="2" t="s">
        <v>38</v>
      </c>
      <c r="G127" s="2">
        <v>6656</v>
      </c>
      <c r="H127" s="2" t="s">
        <v>366</v>
      </c>
      <c r="I127" s="2" t="s">
        <v>367</v>
      </c>
      <c r="J127" s="1">
        <f>VLOOKUP($H127,[1]Detail!$B:$R,14,0)</f>
        <v>2750136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f>VLOOKUP($H127,[1]Detail!$B:$AI,34,0)</f>
        <v>0</v>
      </c>
    </row>
    <row r="128" spans="1:21" x14ac:dyDescent="0.35">
      <c r="A128" s="2">
        <v>127</v>
      </c>
      <c r="B128" s="2">
        <v>2</v>
      </c>
      <c r="C128" s="2" t="s">
        <v>22</v>
      </c>
      <c r="D128" s="2" t="s">
        <v>211</v>
      </c>
      <c r="E128" s="2" t="s">
        <v>368</v>
      </c>
      <c r="F128" s="2" t="s">
        <v>104</v>
      </c>
      <c r="G128" s="2">
        <v>2450</v>
      </c>
      <c r="H128" s="2" t="s">
        <v>369</v>
      </c>
      <c r="I128" s="2" t="s">
        <v>370</v>
      </c>
      <c r="J128" s="1">
        <f>VLOOKUP($H128,[1]Detail!$B:$R,14,0)</f>
        <v>3450000</v>
      </c>
      <c r="K128" s="1">
        <v>1000000</v>
      </c>
      <c r="L128" s="1">
        <v>0</v>
      </c>
      <c r="M128" s="1">
        <v>19000</v>
      </c>
      <c r="N128" s="1">
        <v>0</v>
      </c>
      <c r="O128" s="1">
        <v>0</v>
      </c>
      <c r="P128" s="1">
        <v>0</v>
      </c>
      <c r="Q128" s="1">
        <v>0</v>
      </c>
      <c r="R128" s="1">
        <v>2083333.33</v>
      </c>
      <c r="S128" s="1">
        <v>0</v>
      </c>
      <c r="T128" s="1">
        <v>0</v>
      </c>
      <c r="U128" s="1">
        <f>VLOOKUP($H128,[1]Detail!$B:$AI,34,0)</f>
        <v>0</v>
      </c>
    </row>
    <row r="129" spans="1:21" x14ac:dyDescent="0.35">
      <c r="A129" s="2">
        <v>128</v>
      </c>
      <c r="B129" s="2">
        <v>2</v>
      </c>
      <c r="C129" s="2" t="s">
        <v>45</v>
      </c>
      <c r="D129" s="2" t="s">
        <v>46</v>
      </c>
      <c r="E129" s="2" t="s">
        <v>358</v>
      </c>
      <c r="F129" s="2" t="s">
        <v>38</v>
      </c>
      <c r="G129" s="2">
        <v>1531</v>
      </c>
      <c r="H129" s="2" t="s">
        <v>371</v>
      </c>
      <c r="I129" s="2" t="s">
        <v>372</v>
      </c>
      <c r="J129" s="1">
        <f>VLOOKUP($H129,[1]Detail!$B:$R,14,0)</f>
        <v>2750136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f>VLOOKUP($H129,[1]Detail!$B:$AI,34,0)</f>
        <v>0</v>
      </c>
    </row>
    <row r="130" spans="1:21" x14ac:dyDescent="0.35">
      <c r="A130" s="2">
        <v>129</v>
      </c>
      <c r="B130" s="2">
        <v>2</v>
      </c>
      <c r="C130" s="2" t="s">
        <v>45</v>
      </c>
      <c r="D130" s="2" t="s">
        <v>46</v>
      </c>
      <c r="E130" s="2" t="s">
        <v>373</v>
      </c>
      <c r="F130" s="2" t="s">
        <v>38</v>
      </c>
      <c r="G130" s="2">
        <v>1254</v>
      </c>
      <c r="H130" s="2" t="s">
        <v>374</v>
      </c>
      <c r="I130" s="2" t="s">
        <v>375</v>
      </c>
      <c r="J130" s="1">
        <f>VLOOKUP($H130,[1]Detail!$B:$R,14,0)</f>
        <v>2750136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200000</v>
      </c>
      <c r="Q130" s="1">
        <v>0</v>
      </c>
      <c r="R130" s="1">
        <v>0</v>
      </c>
      <c r="S130" s="1">
        <v>0</v>
      </c>
      <c r="T130" s="1">
        <v>0</v>
      </c>
      <c r="U130" s="1">
        <f>VLOOKUP($H130,[1]Detail!$B:$AI,34,0)</f>
        <v>0</v>
      </c>
    </row>
    <row r="131" spans="1:21" x14ac:dyDescent="0.35">
      <c r="A131" s="2">
        <v>130</v>
      </c>
      <c r="B131" s="2">
        <v>2</v>
      </c>
      <c r="C131" s="2" t="s">
        <v>144</v>
      </c>
      <c r="D131" s="2" t="s">
        <v>229</v>
      </c>
      <c r="E131" s="2" t="s">
        <v>240</v>
      </c>
      <c r="F131" s="2" t="s">
        <v>42</v>
      </c>
      <c r="G131" s="2">
        <v>1650</v>
      </c>
      <c r="H131" s="2" t="s">
        <v>376</v>
      </c>
      <c r="I131" s="2" t="s">
        <v>377</v>
      </c>
      <c r="J131" s="1">
        <f>VLOOKUP($H131,[1]Detail!$B:$R,14,0)</f>
        <v>3105000</v>
      </c>
      <c r="K131" s="1">
        <v>500000</v>
      </c>
      <c r="L131" s="1">
        <v>0</v>
      </c>
      <c r="M131" s="1">
        <v>0</v>
      </c>
      <c r="N131" s="1">
        <v>100000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f>VLOOKUP($H131,[1]Detail!$B:$AI,34,0)</f>
        <v>0</v>
      </c>
    </row>
    <row r="132" spans="1:21" x14ac:dyDescent="0.35">
      <c r="A132" s="2">
        <v>131</v>
      </c>
      <c r="B132" s="2">
        <v>2</v>
      </c>
      <c r="C132" s="2" t="s">
        <v>136</v>
      </c>
      <c r="D132" s="2" t="s">
        <v>378</v>
      </c>
      <c r="E132" s="2" t="s">
        <v>379</v>
      </c>
      <c r="F132" s="2" t="s">
        <v>42</v>
      </c>
      <c r="G132" s="2">
        <v>1651</v>
      </c>
      <c r="H132" s="2" t="s">
        <v>380</v>
      </c>
      <c r="I132" s="2" t="s">
        <v>381</v>
      </c>
      <c r="J132" s="1">
        <f>VLOOKUP($H132,[1]Detail!$B:$R,14,0)</f>
        <v>3300000</v>
      </c>
      <c r="K132" s="1">
        <v>500000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f>VLOOKUP($H132,[1]Detail!$B:$AI,34,0)</f>
        <v>0</v>
      </c>
    </row>
    <row r="133" spans="1:21" x14ac:dyDescent="0.35">
      <c r="A133" s="2">
        <v>132</v>
      </c>
      <c r="B133" s="2">
        <v>2</v>
      </c>
      <c r="C133" s="2" t="s">
        <v>50</v>
      </c>
      <c r="D133" s="2" t="s">
        <v>132</v>
      </c>
      <c r="E133" s="2" t="s">
        <v>382</v>
      </c>
      <c r="F133" s="2" t="s">
        <v>42</v>
      </c>
      <c r="G133" s="2">
        <v>1653</v>
      </c>
      <c r="H133" s="2" t="s">
        <v>383</v>
      </c>
      <c r="I133" s="2" t="s">
        <v>384</v>
      </c>
      <c r="J133" s="1">
        <f>VLOOKUP($H133,[1]Detail!$B:$R,14,0)</f>
        <v>2970000</v>
      </c>
      <c r="K133" s="1">
        <v>500000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f>VLOOKUP($H133,[1]Detail!$B:$AI,34,0)</f>
        <v>0</v>
      </c>
    </row>
    <row r="134" spans="1:21" x14ac:dyDescent="0.35">
      <c r="A134" s="2">
        <v>133</v>
      </c>
      <c r="B134" s="2">
        <v>2</v>
      </c>
      <c r="C134" s="2" t="s">
        <v>50</v>
      </c>
      <c r="D134" s="2" t="s">
        <v>132</v>
      </c>
      <c r="E134" s="2" t="s">
        <v>279</v>
      </c>
      <c r="F134" s="2" t="s">
        <v>42</v>
      </c>
      <c r="G134" s="2">
        <v>1723</v>
      </c>
      <c r="H134" s="2" t="s">
        <v>385</v>
      </c>
      <c r="I134" s="2" t="s">
        <v>386</v>
      </c>
      <c r="J134" s="1">
        <f>VLOOKUP($H134,[1]Detail!$B:$R,14,0)</f>
        <v>3000000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f>VLOOKUP($H134,[1]Detail!$B:$AI,34,0)</f>
        <v>0</v>
      </c>
    </row>
    <row r="135" spans="1:21" x14ac:dyDescent="0.35">
      <c r="A135" s="2">
        <v>134</v>
      </c>
      <c r="B135" s="2">
        <v>2</v>
      </c>
      <c r="C135" s="2" t="s">
        <v>64</v>
      </c>
      <c r="D135" s="2" t="s">
        <v>178</v>
      </c>
      <c r="E135" s="2" t="s">
        <v>179</v>
      </c>
      <c r="F135" s="2" t="s">
        <v>38</v>
      </c>
      <c r="G135" s="2">
        <v>1151</v>
      </c>
      <c r="H135" s="2" t="s">
        <v>387</v>
      </c>
      <c r="I135" s="2" t="s">
        <v>388</v>
      </c>
      <c r="J135" s="1">
        <f>VLOOKUP($H135,[1]Detail!$B:$R,14,0)</f>
        <v>2750136</v>
      </c>
      <c r="K135" s="1">
        <v>0</v>
      </c>
      <c r="L135" s="1">
        <v>250000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f>VLOOKUP($H135,[1]Detail!$B:$AI,34,0)</f>
        <v>0</v>
      </c>
    </row>
    <row r="136" spans="1:21" x14ac:dyDescent="0.35">
      <c r="A136" s="2">
        <v>135</v>
      </c>
      <c r="B136" s="2">
        <v>2</v>
      </c>
      <c r="C136" s="2" t="s">
        <v>144</v>
      </c>
      <c r="D136" s="2" t="s">
        <v>145</v>
      </c>
      <c r="E136" s="2" t="s">
        <v>146</v>
      </c>
      <c r="F136" s="2" t="s">
        <v>42</v>
      </c>
      <c r="G136" s="2">
        <v>8818</v>
      </c>
      <c r="H136" s="2" t="s">
        <v>389</v>
      </c>
      <c r="I136" s="2" t="s">
        <v>390</v>
      </c>
      <c r="J136" s="1">
        <f>VLOOKUP($H136,[1]Detail!$B:$R,14,0)</f>
        <v>3132000</v>
      </c>
      <c r="K136" s="1">
        <v>500000</v>
      </c>
      <c r="L136" s="1">
        <v>0</v>
      </c>
      <c r="M136" s="1">
        <v>11900</v>
      </c>
      <c r="N136" s="1">
        <v>100000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f>VLOOKUP($H136,[1]Detail!$B:$AI,34,0)</f>
        <v>0</v>
      </c>
    </row>
    <row r="137" spans="1:21" x14ac:dyDescent="0.35">
      <c r="A137" s="2">
        <v>136</v>
      </c>
      <c r="B137" s="2">
        <v>2</v>
      </c>
      <c r="C137" s="2" t="s">
        <v>73</v>
      </c>
      <c r="D137" s="2" t="s">
        <v>84</v>
      </c>
      <c r="E137" s="2" t="s">
        <v>85</v>
      </c>
      <c r="F137" s="2" t="s">
        <v>38</v>
      </c>
      <c r="G137" s="2">
        <v>1656</v>
      </c>
      <c r="H137" s="2" t="s">
        <v>391</v>
      </c>
      <c r="I137" s="2" t="s">
        <v>392</v>
      </c>
      <c r="J137" s="1">
        <f>VLOOKUP($H137,[1]Detail!$B:$R,14,0)</f>
        <v>2750136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f>VLOOKUP($H137,[1]Detail!$B:$AI,34,0)</f>
        <v>0</v>
      </c>
    </row>
    <row r="138" spans="1:21" x14ac:dyDescent="0.35">
      <c r="A138" s="2">
        <v>137</v>
      </c>
      <c r="B138" s="2">
        <v>2</v>
      </c>
      <c r="C138" s="2" t="s">
        <v>73</v>
      </c>
      <c r="D138" s="2" t="s">
        <v>84</v>
      </c>
      <c r="E138" s="2" t="s">
        <v>85</v>
      </c>
      <c r="F138" s="2" t="s">
        <v>38</v>
      </c>
      <c r="G138" s="2">
        <v>1657</v>
      </c>
      <c r="H138" s="2" t="s">
        <v>393</v>
      </c>
      <c r="I138" s="2" t="s">
        <v>394</v>
      </c>
      <c r="J138" s="1">
        <f>VLOOKUP($H138,[1]Detail!$B:$R,14,0)</f>
        <v>2750136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f>VLOOKUP($H138,[1]Detail!$B:$AI,34,0)</f>
        <v>0</v>
      </c>
    </row>
    <row r="139" spans="1:21" x14ac:dyDescent="0.35">
      <c r="A139" s="2">
        <v>138</v>
      </c>
      <c r="B139" s="2">
        <v>2</v>
      </c>
      <c r="C139" s="2" t="s">
        <v>64</v>
      </c>
      <c r="D139" s="2" t="s">
        <v>178</v>
      </c>
      <c r="E139" s="2" t="s">
        <v>179</v>
      </c>
      <c r="F139" s="2" t="s">
        <v>38</v>
      </c>
      <c r="G139" s="2">
        <v>1107</v>
      </c>
      <c r="H139" s="2" t="s">
        <v>395</v>
      </c>
      <c r="I139" s="2" t="s">
        <v>396</v>
      </c>
      <c r="J139" s="1">
        <f>VLOOKUP($H139,[1]Detail!$B:$R,14,0)</f>
        <v>2750136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f>VLOOKUP($H139,[1]Detail!$B:$AI,34,0)</f>
        <v>0</v>
      </c>
    </row>
    <row r="140" spans="1:21" x14ac:dyDescent="0.35">
      <c r="A140" s="2">
        <v>139</v>
      </c>
      <c r="B140" s="2">
        <v>2</v>
      </c>
      <c r="C140" s="2" t="s">
        <v>73</v>
      </c>
      <c r="D140" s="2" t="s">
        <v>74</v>
      </c>
      <c r="E140" s="2" t="s">
        <v>75</v>
      </c>
      <c r="F140" s="2" t="s">
        <v>38</v>
      </c>
      <c r="G140" s="2">
        <v>1727</v>
      </c>
      <c r="H140" s="2" t="s">
        <v>397</v>
      </c>
      <c r="I140" s="2" t="s">
        <v>398</v>
      </c>
      <c r="J140" s="1">
        <f>VLOOKUP($H140,[1]Detail!$B:$R,14,0)</f>
        <v>2750136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f>VLOOKUP($H140,[1]Detail!$B:$AI,34,0)</f>
        <v>0</v>
      </c>
    </row>
    <row r="141" spans="1:21" x14ac:dyDescent="0.35">
      <c r="A141" s="2">
        <v>140</v>
      </c>
      <c r="B141" s="2">
        <v>2</v>
      </c>
      <c r="C141" s="2" t="s">
        <v>45</v>
      </c>
      <c r="D141" s="2" t="s">
        <v>46</v>
      </c>
      <c r="E141" s="2" t="s">
        <v>152</v>
      </c>
      <c r="F141" s="2" t="s">
        <v>38</v>
      </c>
      <c r="G141" s="2">
        <v>1728</v>
      </c>
      <c r="H141" s="2" t="s">
        <v>399</v>
      </c>
      <c r="I141" s="2" t="s">
        <v>400</v>
      </c>
      <c r="J141" s="1">
        <f>VLOOKUP($H141,[1]Detail!$B:$R,14,0)</f>
        <v>2750136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f>VLOOKUP($H141,[1]Detail!$B:$AI,34,0)</f>
        <v>0</v>
      </c>
    </row>
    <row r="142" spans="1:21" x14ac:dyDescent="0.35">
      <c r="A142" s="2">
        <v>141</v>
      </c>
      <c r="B142" s="2">
        <v>2</v>
      </c>
      <c r="C142" s="2" t="s">
        <v>45</v>
      </c>
      <c r="D142" s="2" t="s">
        <v>46</v>
      </c>
      <c r="E142" s="2" t="s">
        <v>152</v>
      </c>
      <c r="F142" s="2" t="s">
        <v>38</v>
      </c>
      <c r="G142" s="2">
        <v>1729</v>
      </c>
      <c r="H142" s="2" t="s">
        <v>401</v>
      </c>
      <c r="I142" s="2" t="s">
        <v>402</v>
      </c>
      <c r="J142" s="1">
        <f>VLOOKUP($H142,[1]Detail!$B:$R,14,0)</f>
        <v>2750136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f>VLOOKUP($H142,[1]Detail!$B:$AI,34,0)</f>
        <v>0</v>
      </c>
    </row>
    <row r="143" spans="1:21" x14ac:dyDescent="0.35">
      <c r="A143" s="2">
        <v>142</v>
      </c>
      <c r="B143" s="2">
        <v>2</v>
      </c>
      <c r="C143" s="2" t="s">
        <v>45</v>
      </c>
      <c r="D143" s="2" t="s">
        <v>46</v>
      </c>
      <c r="E143" s="2" t="s">
        <v>152</v>
      </c>
      <c r="F143" s="2" t="s">
        <v>38</v>
      </c>
      <c r="G143" s="2">
        <v>1730</v>
      </c>
      <c r="H143" s="2" t="s">
        <v>403</v>
      </c>
      <c r="I143" s="2" t="s">
        <v>404</v>
      </c>
      <c r="J143" s="1">
        <f>VLOOKUP($H143,[1]Detail!$B:$R,14,0)</f>
        <v>2750136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f>VLOOKUP($H143,[1]Detail!$B:$AI,34,0)</f>
        <v>0</v>
      </c>
    </row>
    <row r="144" spans="1:21" x14ac:dyDescent="0.35">
      <c r="A144" s="2">
        <v>143</v>
      </c>
      <c r="B144" s="2">
        <v>2</v>
      </c>
      <c r="C144" s="2" t="s">
        <v>45</v>
      </c>
      <c r="D144" s="2" t="s">
        <v>69</v>
      </c>
      <c r="E144" s="2" t="s">
        <v>70</v>
      </c>
      <c r="F144" s="2" t="s">
        <v>38</v>
      </c>
      <c r="G144" s="2">
        <v>1731</v>
      </c>
      <c r="H144" s="2" t="s">
        <v>405</v>
      </c>
      <c r="I144" s="2" t="s">
        <v>406</v>
      </c>
      <c r="J144" s="1">
        <f>VLOOKUP($H144,[1]Detail!$B:$R,14,0)</f>
        <v>2750136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f>VLOOKUP($H144,[1]Detail!$B:$AI,34,0)</f>
        <v>0</v>
      </c>
    </row>
    <row r="145" spans="1:21" x14ac:dyDescent="0.35">
      <c r="A145" s="2">
        <v>144</v>
      </c>
      <c r="B145" s="2">
        <v>2</v>
      </c>
      <c r="C145" s="2" t="s">
        <v>64</v>
      </c>
      <c r="D145" s="2" t="s">
        <v>78</v>
      </c>
      <c r="E145" s="2" t="s">
        <v>79</v>
      </c>
      <c r="F145" s="2" t="s">
        <v>38</v>
      </c>
      <c r="G145" s="2">
        <v>1046</v>
      </c>
      <c r="H145" s="2" t="s">
        <v>407</v>
      </c>
      <c r="I145" s="2" t="s">
        <v>408</v>
      </c>
      <c r="J145" s="1">
        <f>VLOOKUP($H145,[1]Detail!$B:$R,14,0)</f>
        <v>2750136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200000</v>
      </c>
      <c r="Q145" s="1">
        <v>0</v>
      </c>
      <c r="R145" s="1">
        <v>0</v>
      </c>
      <c r="S145" s="1">
        <v>0</v>
      </c>
      <c r="T145" s="1">
        <v>0</v>
      </c>
      <c r="U145" s="1">
        <f>VLOOKUP($H145,[1]Detail!$B:$AI,34,0)</f>
        <v>0</v>
      </c>
    </row>
    <row r="146" spans="1:21" x14ac:dyDescent="0.35">
      <c r="A146" s="2">
        <v>145</v>
      </c>
      <c r="B146" s="2">
        <v>2</v>
      </c>
      <c r="C146" s="2" t="s">
        <v>45</v>
      </c>
      <c r="D146" s="2" t="s">
        <v>128</v>
      </c>
      <c r="E146" s="2" t="s">
        <v>288</v>
      </c>
      <c r="F146" s="2" t="s">
        <v>38</v>
      </c>
      <c r="G146" s="2">
        <v>1294</v>
      </c>
      <c r="H146" s="2" t="s">
        <v>409</v>
      </c>
      <c r="I146" s="2" t="s">
        <v>410</v>
      </c>
      <c r="J146" s="1">
        <f>VLOOKUP($H146,[1]Detail!$B:$R,14,0)</f>
        <v>2750136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200000</v>
      </c>
      <c r="Q146" s="1">
        <v>0</v>
      </c>
      <c r="R146" s="1">
        <v>0</v>
      </c>
      <c r="S146" s="1">
        <v>0</v>
      </c>
      <c r="T146" s="1">
        <v>0</v>
      </c>
      <c r="U146" s="1">
        <f>VLOOKUP($H146,[1]Detail!$B:$AI,34,0)</f>
        <v>0</v>
      </c>
    </row>
    <row r="147" spans="1:21" x14ac:dyDescent="0.35">
      <c r="A147" s="2">
        <v>146</v>
      </c>
      <c r="B147" s="2">
        <v>2</v>
      </c>
      <c r="C147" s="2" t="s">
        <v>50</v>
      </c>
      <c r="D147" s="2" t="s">
        <v>51</v>
      </c>
      <c r="E147" s="2" t="s">
        <v>411</v>
      </c>
      <c r="F147" s="2" t="s">
        <v>38</v>
      </c>
      <c r="G147" s="2">
        <v>1430</v>
      </c>
      <c r="H147" s="2" t="s">
        <v>412</v>
      </c>
      <c r="I147" s="2" t="s">
        <v>413</v>
      </c>
      <c r="J147" s="1">
        <f>VLOOKUP($H147,[1]Detail!$B:$R,14,0)</f>
        <v>2887500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f>VLOOKUP($H147,[1]Detail!$B:$AI,34,0)</f>
        <v>0</v>
      </c>
    </row>
    <row r="148" spans="1:21" x14ac:dyDescent="0.35">
      <c r="A148" s="2">
        <v>147</v>
      </c>
      <c r="B148" s="2">
        <v>2</v>
      </c>
      <c r="C148" s="2" t="s">
        <v>45</v>
      </c>
      <c r="D148" s="2" t="s">
        <v>128</v>
      </c>
      <c r="E148" s="2" t="s">
        <v>291</v>
      </c>
      <c r="F148" s="2" t="s">
        <v>38</v>
      </c>
      <c r="G148" s="2">
        <v>1297</v>
      </c>
      <c r="H148" s="2" t="s">
        <v>414</v>
      </c>
      <c r="I148" s="2" t="s">
        <v>415</v>
      </c>
      <c r="J148" s="1">
        <f>VLOOKUP($H148,[1]Detail!$B:$R,14,0)</f>
        <v>2750136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f>VLOOKUP($H148,[1]Detail!$B:$AI,34,0)</f>
        <v>0</v>
      </c>
    </row>
    <row r="149" spans="1:21" x14ac:dyDescent="0.35">
      <c r="A149" s="2">
        <v>148</v>
      </c>
      <c r="B149" s="2">
        <v>2</v>
      </c>
      <c r="C149" s="2" t="s">
        <v>45</v>
      </c>
      <c r="D149" s="2" t="s">
        <v>46</v>
      </c>
      <c r="E149" s="2" t="s">
        <v>416</v>
      </c>
      <c r="F149" s="2" t="s">
        <v>38</v>
      </c>
      <c r="G149" s="2">
        <v>1300</v>
      </c>
      <c r="H149" s="2" t="s">
        <v>417</v>
      </c>
      <c r="I149" s="2" t="s">
        <v>418</v>
      </c>
      <c r="J149" s="1">
        <f>VLOOKUP($H149,[1]Detail!$B:$R,14,0)</f>
        <v>2750136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200000</v>
      </c>
      <c r="Q149" s="1">
        <v>0</v>
      </c>
      <c r="R149" s="1">
        <v>0</v>
      </c>
      <c r="S149" s="1">
        <v>0</v>
      </c>
      <c r="T149" s="1">
        <v>0</v>
      </c>
      <c r="U149" s="1">
        <f>VLOOKUP($H149,[1]Detail!$B:$AI,34,0)</f>
        <v>0</v>
      </c>
    </row>
    <row r="150" spans="1:21" x14ac:dyDescent="0.35">
      <c r="A150" s="2">
        <v>149</v>
      </c>
      <c r="B150" s="2">
        <v>2</v>
      </c>
      <c r="C150" s="2" t="s">
        <v>73</v>
      </c>
      <c r="D150" s="2" t="s">
        <v>84</v>
      </c>
      <c r="E150" s="2" t="s">
        <v>85</v>
      </c>
      <c r="F150" s="2" t="s">
        <v>38</v>
      </c>
      <c r="G150" s="2">
        <v>1304</v>
      </c>
      <c r="H150" s="2" t="s">
        <v>419</v>
      </c>
      <c r="I150" s="2" t="s">
        <v>420</v>
      </c>
      <c r="J150" s="1">
        <f>VLOOKUP($H150,[1]Detail!$B:$R,14,0)</f>
        <v>2750136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f>VLOOKUP($H150,[1]Detail!$B:$AI,34,0)</f>
        <v>0</v>
      </c>
    </row>
    <row r="151" spans="1:21" x14ac:dyDescent="0.35">
      <c r="A151" s="2">
        <v>150</v>
      </c>
      <c r="B151" s="2">
        <v>2</v>
      </c>
      <c r="C151" s="2" t="s">
        <v>144</v>
      </c>
      <c r="D151" s="2" t="s">
        <v>165</v>
      </c>
      <c r="E151" s="2" t="s">
        <v>165</v>
      </c>
      <c r="F151" s="2" t="s">
        <v>38</v>
      </c>
      <c r="G151" s="2">
        <v>1659</v>
      </c>
      <c r="H151" s="2" t="s">
        <v>421</v>
      </c>
      <c r="I151" s="2" t="s">
        <v>422</v>
      </c>
      <c r="J151" s="1">
        <f>VLOOKUP($H151,[1]Detail!$B:$R,14,0)</f>
        <v>2950753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f>VLOOKUP($H151,[1]Detail!$B:$AI,34,0)</f>
        <v>0</v>
      </c>
    </row>
    <row r="152" spans="1:21" x14ac:dyDescent="0.35">
      <c r="A152" s="2">
        <v>151</v>
      </c>
      <c r="B152" s="2">
        <v>2</v>
      </c>
      <c r="C152" s="2" t="s">
        <v>182</v>
      </c>
      <c r="D152" s="2" t="s">
        <v>423</v>
      </c>
      <c r="E152" s="2" t="s">
        <v>424</v>
      </c>
      <c r="F152" s="2" t="s">
        <v>38</v>
      </c>
      <c r="G152" s="2">
        <v>1661</v>
      </c>
      <c r="H152" s="2" t="s">
        <v>425</v>
      </c>
      <c r="I152" s="2" t="s">
        <v>426</v>
      </c>
      <c r="J152" s="1">
        <f>VLOOKUP($H152,[1]Detail!$B:$R,14,0)</f>
        <v>2750136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f>VLOOKUP($H152,[1]Detail!$B:$AI,34,0)</f>
        <v>0</v>
      </c>
    </row>
    <row r="153" spans="1:21" x14ac:dyDescent="0.35">
      <c r="A153" s="2">
        <v>152</v>
      </c>
      <c r="B153" s="2">
        <v>2</v>
      </c>
      <c r="C153" s="2" t="s">
        <v>182</v>
      </c>
      <c r="D153" s="2" t="s">
        <v>423</v>
      </c>
      <c r="E153" s="2" t="s">
        <v>424</v>
      </c>
      <c r="F153" s="2" t="s">
        <v>38</v>
      </c>
      <c r="G153" s="2">
        <v>1662</v>
      </c>
      <c r="H153" s="2" t="s">
        <v>427</v>
      </c>
      <c r="I153" s="2" t="s">
        <v>428</v>
      </c>
      <c r="J153" s="1">
        <f>VLOOKUP($H153,[1]Detail!$B:$R,14,0)</f>
        <v>2750136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100000</v>
      </c>
      <c r="Q153" s="1">
        <v>0</v>
      </c>
      <c r="R153" s="1">
        <v>0</v>
      </c>
      <c r="S153" s="1">
        <v>0</v>
      </c>
      <c r="T153" s="1">
        <v>0</v>
      </c>
      <c r="U153" s="1">
        <f>VLOOKUP($H153,[1]Detail!$B:$AI,34,0)</f>
        <v>0</v>
      </c>
    </row>
    <row r="154" spans="1:21" x14ac:dyDescent="0.35">
      <c r="A154" s="2">
        <v>153</v>
      </c>
      <c r="B154" s="2">
        <v>2</v>
      </c>
      <c r="C154" s="2" t="s">
        <v>45</v>
      </c>
      <c r="D154" s="2" t="s">
        <v>46</v>
      </c>
      <c r="E154" s="2" t="s">
        <v>358</v>
      </c>
      <c r="F154" s="2" t="s">
        <v>38</v>
      </c>
      <c r="G154" s="2">
        <v>1663</v>
      </c>
      <c r="H154" s="2" t="s">
        <v>429</v>
      </c>
      <c r="I154" s="2" t="s">
        <v>430</v>
      </c>
      <c r="J154" s="1">
        <f>VLOOKUP($H154,[1]Detail!$B:$R,14,0)</f>
        <v>2750136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f>VLOOKUP($H154,[1]Detail!$B:$AI,34,0)</f>
        <v>0</v>
      </c>
    </row>
    <row r="155" spans="1:21" x14ac:dyDescent="0.35">
      <c r="A155" s="2">
        <v>154</v>
      </c>
      <c r="B155" s="2">
        <v>2</v>
      </c>
      <c r="C155" s="2" t="s">
        <v>73</v>
      </c>
      <c r="D155" s="2" t="s">
        <v>84</v>
      </c>
      <c r="E155" s="2" t="s">
        <v>85</v>
      </c>
      <c r="F155" s="2" t="s">
        <v>38</v>
      </c>
      <c r="G155" s="2">
        <v>1667</v>
      </c>
      <c r="H155" s="2" t="s">
        <v>431</v>
      </c>
      <c r="I155" s="2" t="s">
        <v>432</v>
      </c>
      <c r="J155" s="1">
        <f>VLOOKUP($H155,[1]Detail!$B:$R,14,0)</f>
        <v>2750136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f>VLOOKUP($H155,[1]Detail!$B:$AI,34,0)</f>
        <v>0</v>
      </c>
    </row>
    <row r="156" spans="1:21" x14ac:dyDescent="0.35">
      <c r="A156" s="2">
        <v>155</v>
      </c>
      <c r="B156" s="2">
        <v>2</v>
      </c>
      <c r="C156" s="2" t="s">
        <v>21</v>
      </c>
      <c r="D156" s="2" t="s">
        <v>178</v>
      </c>
      <c r="E156" s="2" t="s">
        <v>433</v>
      </c>
      <c r="F156" s="2" t="s">
        <v>24</v>
      </c>
      <c r="G156" s="2">
        <v>1668</v>
      </c>
      <c r="H156" s="2" t="s">
        <v>434</v>
      </c>
      <c r="I156" s="2" t="s">
        <v>435</v>
      </c>
      <c r="J156" s="1">
        <f>VLOOKUP($H156,[1]Detail!$B:$R,14,0)</f>
        <v>18000000</v>
      </c>
      <c r="K156" s="1">
        <v>2000000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f>VLOOKUP($H156,[1]Detail!$B:$AI,34,0)</f>
        <v>0</v>
      </c>
    </row>
    <row r="157" spans="1:21" x14ac:dyDescent="0.35">
      <c r="A157" s="2">
        <v>156</v>
      </c>
      <c r="B157" s="2">
        <v>2</v>
      </c>
      <c r="C157" s="2" t="s">
        <v>73</v>
      </c>
      <c r="D157" s="2" t="s">
        <v>74</v>
      </c>
      <c r="E157" s="2" t="s">
        <v>75</v>
      </c>
      <c r="F157" s="2" t="s">
        <v>38</v>
      </c>
      <c r="G157" s="2">
        <v>1669</v>
      </c>
      <c r="H157" s="2" t="s">
        <v>436</v>
      </c>
      <c r="I157" s="2" t="s">
        <v>437</v>
      </c>
      <c r="J157" s="1">
        <f>VLOOKUP($H157,[1]Detail!$B:$R,14,0)</f>
        <v>2750136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f>VLOOKUP($H157,[1]Detail!$B:$AI,34,0)</f>
        <v>0</v>
      </c>
    </row>
    <row r="158" spans="1:21" x14ac:dyDescent="0.35">
      <c r="A158" s="2">
        <v>157</v>
      </c>
      <c r="B158" s="2">
        <v>2</v>
      </c>
      <c r="C158" s="2" t="s">
        <v>45</v>
      </c>
      <c r="D158" s="2" t="s">
        <v>69</v>
      </c>
      <c r="E158" s="2" t="s">
        <v>70</v>
      </c>
      <c r="F158" s="2" t="s">
        <v>38</v>
      </c>
      <c r="G158" s="2">
        <v>1732</v>
      </c>
      <c r="H158" s="2" t="s">
        <v>438</v>
      </c>
      <c r="I158" s="2" t="s">
        <v>439</v>
      </c>
      <c r="J158" s="1">
        <f>VLOOKUP($H158,[1]Detail!$B:$R,14,0)</f>
        <v>2750136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f>VLOOKUP($H158,[1]Detail!$B:$AI,34,0)</f>
        <v>0</v>
      </c>
    </row>
    <row r="159" spans="1:21" x14ac:dyDescent="0.35">
      <c r="A159" s="2">
        <v>158</v>
      </c>
      <c r="B159" s="2">
        <v>2</v>
      </c>
      <c r="C159" s="2" t="s">
        <v>73</v>
      </c>
      <c r="D159" s="2" t="s">
        <v>74</v>
      </c>
      <c r="E159" s="2" t="s">
        <v>440</v>
      </c>
      <c r="F159" s="2" t="s">
        <v>38</v>
      </c>
      <c r="G159" s="2">
        <v>1733</v>
      </c>
      <c r="H159" s="2" t="s">
        <v>441</v>
      </c>
      <c r="I159" s="2" t="s">
        <v>442</v>
      </c>
      <c r="J159" s="1">
        <f>VLOOKUP($H159,[1]Detail!$B:$R,14,0)</f>
        <v>2750136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f>VLOOKUP($H159,[1]Detail!$B:$AI,34,0)</f>
        <v>0</v>
      </c>
    </row>
    <row r="160" spans="1:21" x14ac:dyDescent="0.35">
      <c r="A160" s="2">
        <v>159</v>
      </c>
      <c r="B160" s="2">
        <v>2</v>
      </c>
      <c r="C160" s="2" t="s">
        <v>45</v>
      </c>
      <c r="D160" s="2" t="s">
        <v>46</v>
      </c>
      <c r="E160" s="2" t="s">
        <v>152</v>
      </c>
      <c r="F160" s="2" t="s">
        <v>38</v>
      </c>
      <c r="G160" s="2">
        <v>1734</v>
      </c>
      <c r="H160" s="2" t="s">
        <v>443</v>
      </c>
      <c r="I160" s="2" t="s">
        <v>444</v>
      </c>
      <c r="J160" s="1">
        <f>VLOOKUP($H160,[1]Detail!$B:$R,14,0)</f>
        <v>2750136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f>VLOOKUP($H160,[1]Detail!$B:$AI,34,0)</f>
        <v>0</v>
      </c>
    </row>
    <row r="161" spans="1:21" x14ac:dyDescent="0.35">
      <c r="A161" s="2">
        <v>160</v>
      </c>
      <c r="B161" s="2">
        <v>2</v>
      </c>
      <c r="C161" s="2" t="s">
        <v>73</v>
      </c>
      <c r="D161" s="2" t="s">
        <v>74</v>
      </c>
      <c r="E161" s="2" t="s">
        <v>75</v>
      </c>
      <c r="F161" s="2" t="s">
        <v>38</v>
      </c>
      <c r="G161" s="2">
        <v>1735</v>
      </c>
      <c r="H161" s="2" t="s">
        <v>445</v>
      </c>
      <c r="I161" s="2" t="s">
        <v>68</v>
      </c>
      <c r="J161" s="1">
        <f>VLOOKUP($H161,[1]Detail!$B:$R,14,0)</f>
        <v>2750136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f>VLOOKUP($H161,[1]Detail!$B:$AI,34,0)</f>
        <v>0</v>
      </c>
    </row>
    <row r="162" spans="1:21" x14ac:dyDescent="0.35">
      <c r="A162" s="2">
        <v>161</v>
      </c>
      <c r="B162" s="2">
        <v>2</v>
      </c>
      <c r="C162" s="2" t="s">
        <v>45</v>
      </c>
      <c r="D162" s="2" t="s">
        <v>46</v>
      </c>
      <c r="E162" s="2" t="s">
        <v>358</v>
      </c>
      <c r="F162" s="2" t="s">
        <v>38</v>
      </c>
      <c r="G162" s="2">
        <v>1736</v>
      </c>
      <c r="H162" s="2" t="s">
        <v>446</v>
      </c>
      <c r="I162" s="2" t="s">
        <v>447</v>
      </c>
      <c r="J162" s="1">
        <f>VLOOKUP($H162,[1]Detail!$B:$R,14,0)</f>
        <v>2750136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f>VLOOKUP($H162,[1]Detail!$B:$AI,34,0)</f>
        <v>0</v>
      </c>
    </row>
    <row r="163" spans="1:21" x14ac:dyDescent="0.35">
      <c r="A163" s="2">
        <v>162</v>
      </c>
      <c r="B163" s="2">
        <v>2</v>
      </c>
      <c r="C163" s="2" t="s">
        <v>45</v>
      </c>
      <c r="D163" s="2" t="s">
        <v>128</v>
      </c>
      <c r="E163" s="2" t="s">
        <v>129</v>
      </c>
      <c r="F163" s="2" t="s">
        <v>38</v>
      </c>
      <c r="G163" s="2">
        <v>1737</v>
      </c>
      <c r="H163" s="2" t="s">
        <v>448</v>
      </c>
      <c r="I163" s="2" t="s">
        <v>449</v>
      </c>
      <c r="J163" s="1">
        <f>VLOOKUP($H163,[1]Detail!$B:$R,14,0)</f>
        <v>2750136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f>VLOOKUP($H163,[1]Detail!$B:$AI,34,0)</f>
        <v>0</v>
      </c>
    </row>
    <row r="164" spans="1:21" x14ac:dyDescent="0.35">
      <c r="A164" s="2">
        <v>163</v>
      </c>
      <c r="B164" s="2">
        <v>2</v>
      </c>
      <c r="C164" s="2" t="s">
        <v>64</v>
      </c>
      <c r="D164" s="2" t="s">
        <v>178</v>
      </c>
      <c r="E164" s="2" t="s">
        <v>450</v>
      </c>
      <c r="F164" s="2" t="s">
        <v>38</v>
      </c>
      <c r="G164" s="2">
        <v>1012</v>
      </c>
      <c r="H164" s="2" t="s">
        <v>451</v>
      </c>
      <c r="I164" s="2" t="s">
        <v>452</v>
      </c>
      <c r="J164" s="1">
        <f>VLOOKUP($H164,[1]Detail!$B:$R,14,0)</f>
        <v>2883600</v>
      </c>
      <c r="K164" s="1">
        <v>0</v>
      </c>
      <c r="L164" s="1">
        <v>250000</v>
      </c>
      <c r="M164" s="1">
        <v>0</v>
      </c>
      <c r="N164" s="1">
        <v>0</v>
      </c>
      <c r="O164" s="1">
        <v>0</v>
      </c>
      <c r="P164" s="1">
        <v>200000</v>
      </c>
      <c r="Q164" s="1">
        <v>0</v>
      </c>
      <c r="R164" s="1">
        <v>0</v>
      </c>
      <c r="S164" s="1">
        <v>0</v>
      </c>
      <c r="T164" s="1">
        <v>0</v>
      </c>
      <c r="U164" s="1">
        <f>VLOOKUP($H164,[1]Detail!$B:$AI,34,0)</f>
        <v>0</v>
      </c>
    </row>
    <row r="165" spans="1:21" x14ac:dyDescent="0.35">
      <c r="A165" s="2">
        <v>164</v>
      </c>
      <c r="B165" s="2">
        <v>2</v>
      </c>
      <c r="C165" s="2" t="s">
        <v>64</v>
      </c>
      <c r="D165" s="2" t="s">
        <v>453</v>
      </c>
      <c r="E165" s="2" t="s">
        <v>454</v>
      </c>
      <c r="F165" s="2" t="s">
        <v>38</v>
      </c>
      <c r="G165" s="2">
        <v>1049</v>
      </c>
      <c r="H165" s="2" t="s">
        <v>455</v>
      </c>
      <c r="I165" s="2" t="s">
        <v>456</v>
      </c>
      <c r="J165" s="1">
        <f>VLOOKUP($H165,[1]Detail!$B:$R,14,0)</f>
        <v>2820980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f>VLOOKUP($H165,[1]Detail!$B:$AI,34,0)</f>
        <v>0</v>
      </c>
    </row>
    <row r="166" spans="1:21" x14ac:dyDescent="0.35">
      <c r="A166" s="2">
        <v>165</v>
      </c>
      <c r="B166" s="2">
        <v>2</v>
      </c>
      <c r="C166" s="2" t="s">
        <v>73</v>
      </c>
      <c r="D166" s="2" t="s">
        <v>74</v>
      </c>
      <c r="E166" s="2" t="s">
        <v>75</v>
      </c>
      <c r="F166" s="2" t="s">
        <v>38</v>
      </c>
      <c r="G166" s="2">
        <v>1050</v>
      </c>
      <c r="H166" s="2" t="s">
        <v>457</v>
      </c>
      <c r="I166" s="2" t="s">
        <v>458</v>
      </c>
      <c r="J166" s="1">
        <f>VLOOKUP($H166,[1]Detail!$B:$R,14,0)</f>
        <v>2750136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f>VLOOKUP($H166,[1]Detail!$B:$AI,34,0)</f>
        <v>0</v>
      </c>
    </row>
    <row r="167" spans="1:21" x14ac:dyDescent="0.35">
      <c r="A167" s="2">
        <v>166</v>
      </c>
      <c r="B167" s="2">
        <v>2</v>
      </c>
      <c r="C167" s="2" t="s">
        <v>73</v>
      </c>
      <c r="D167" s="2" t="s">
        <v>74</v>
      </c>
      <c r="E167" s="2" t="s">
        <v>75</v>
      </c>
      <c r="F167" s="2" t="s">
        <v>38</v>
      </c>
      <c r="G167" s="2">
        <v>1053</v>
      </c>
      <c r="H167" s="2" t="s">
        <v>459</v>
      </c>
      <c r="I167" s="2" t="s">
        <v>460</v>
      </c>
      <c r="J167" s="1">
        <f>VLOOKUP($H167,[1]Detail!$B:$R,14,0)</f>
        <v>2750136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f>VLOOKUP($H167,[1]Detail!$B:$AI,34,0)</f>
        <v>0</v>
      </c>
    </row>
    <row r="168" spans="1:21" x14ac:dyDescent="0.35">
      <c r="A168" s="2">
        <v>167</v>
      </c>
      <c r="B168" s="2">
        <v>2</v>
      </c>
      <c r="C168" s="2" t="s">
        <v>64</v>
      </c>
      <c r="D168" s="2" t="s">
        <v>78</v>
      </c>
      <c r="E168" s="2" t="s">
        <v>79</v>
      </c>
      <c r="F168" s="2" t="s">
        <v>38</v>
      </c>
      <c r="G168" s="2">
        <v>1054</v>
      </c>
      <c r="H168" s="2" t="s">
        <v>461</v>
      </c>
      <c r="I168" s="2" t="s">
        <v>462</v>
      </c>
      <c r="J168" s="1">
        <f>VLOOKUP($H168,[1]Detail!$B:$R,14,0)</f>
        <v>2750136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f>VLOOKUP($H168,[1]Detail!$B:$AI,34,0)</f>
        <v>0</v>
      </c>
    </row>
    <row r="169" spans="1:21" x14ac:dyDescent="0.35">
      <c r="A169" s="2">
        <v>168</v>
      </c>
      <c r="B169" s="2">
        <v>2</v>
      </c>
      <c r="C169" s="2" t="s">
        <v>45</v>
      </c>
      <c r="D169" s="2" t="s">
        <v>46</v>
      </c>
      <c r="E169" s="2" t="s">
        <v>416</v>
      </c>
      <c r="F169" s="2" t="s">
        <v>38</v>
      </c>
      <c r="G169" s="2">
        <v>1055</v>
      </c>
      <c r="H169" s="2" t="s">
        <v>463</v>
      </c>
      <c r="I169" s="2" t="s">
        <v>464</v>
      </c>
      <c r="J169" s="1">
        <f>VLOOKUP($H169,[1]Detail!$B:$R,14,0)</f>
        <v>2750136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200000</v>
      </c>
      <c r="Q169" s="1">
        <v>0</v>
      </c>
      <c r="R169" s="1">
        <v>0</v>
      </c>
      <c r="S169" s="1">
        <v>0</v>
      </c>
      <c r="T169" s="1">
        <v>0</v>
      </c>
      <c r="U169" s="1">
        <f>VLOOKUP($H169,[1]Detail!$B:$AI,34,0)</f>
        <v>0</v>
      </c>
    </row>
    <row r="170" spans="1:21" x14ac:dyDescent="0.35">
      <c r="A170" s="2">
        <v>169</v>
      </c>
      <c r="B170" s="2">
        <v>2</v>
      </c>
      <c r="C170" s="2" t="s">
        <v>182</v>
      </c>
      <c r="D170" s="2" t="s">
        <v>423</v>
      </c>
      <c r="E170" s="2" t="s">
        <v>465</v>
      </c>
      <c r="F170" s="2" t="s">
        <v>42</v>
      </c>
      <c r="G170" s="2">
        <v>2725</v>
      </c>
      <c r="H170" s="2" t="s">
        <v>466</v>
      </c>
      <c r="I170" s="2" t="s">
        <v>467</v>
      </c>
      <c r="J170" s="1">
        <f>VLOOKUP($H170,[1]Detail!$B:$R,14,0)</f>
        <v>2827000</v>
      </c>
      <c r="K170" s="1">
        <v>500000</v>
      </c>
      <c r="L170" s="1">
        <v>250000</v>
      </c>
      <c r="M170" s="1">
        <v>11900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f>VLOOKUP($H170,[1]Detail!$B:$AI,34,0)</f>
        <v>0</v>
      </c>
    </row>
    <row r="171" spans="1:21" x14ac:dyDescent="0.35">
      <c r="A171" s="2">
        <v>170</v>
      </c>
      <c r="B171" s="2">
        <v>2</v>
      </c>
      <c r="C171" s="2" t="s">
        <v>50</v>
      </c>
      <c r="D171" s="2" t="s">
        <v>102</v>
      </c>
      <c r="E171" s="2" t="s">
        <v>468</v>
      </c>
      <c r="F171" s="2" t="s">
        <v>42</v>
      </c>
      <c r="G171" s="2">
        <v>1305</v>
      </c>
      <c r="H171" s="2" t="s">
        <v>469</v>
      </c>
      <c r="I171" s="2" t="s">
        <v>470</v>
      </c>
      <c r="J171" s="1">
        <f>VLOOKUP($H171,[1]Detail!$B:$R,14,0)</f>
        <v>2940000</v>
      </c>
      <c r="K171" s="1">
        <v>500000</v>
      </c>
      <c r="L171" s="1">
        <v>0</v>
      </c>
      <c r="M171" s="1">
        <v>11900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f>VLOOKUP($H171,[1]Detail!$B:$AI,34,0)</f>
        <v>0</v>
      </c>
    </row>
    <row r="172" spans="1:21" x14ac:dyDescent="0.35">
      <c r="A172" s="2">
        <v>171</v>
      </c>
      <c r="B172" s="2">
        <v>2</v>
      </c>
      <c r="C172" s="2" t="s">
        <v>45</v>
      </c>
      <c r="D172" s="2" t="s">
        <v>128</v>
      </c>
      <c r="E172" s="2" t="s">
        <v>288</v>
      </c>
      <c r="F172" s="2" t="s">
        <v>38</v>
      </c>
      <c r="G172" s="2">
        <v>1211</v>
      </c>
      <c r="H172" s="2" t="s">
        <v>471</v>
      </c>
      <c r="I172" s="2" t="s">
        <v>472</v>
      </c>
      <c r="J172" s="1">
        <f>VLOOKUP($H172,[1]Detail!$B:$R,14,0)</f>
        <v>2750136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200000</v>
      </c>
      <c r="Q172" s="1">
        <v>0</v>
      </c>
      <c r="R172" s="1">
        <v>0</v>
      </c>
      <c r="S172" s="1">
        <v>0</v>
      </c>
      <c r="T172" s="1">
        <v>0</v>
      </c>
      <c r="U172" s="1">
        <f>VLOOKUP($H172,[1]Detail!$B:$AI,34,0)</f>
        <v>0</v>
      </c>
    </row>
    <row r="173" spans="1:21" x14ac:dyDescent="0.35">
      <c r="A173" s="2">
        <v>172</v>
      </c>
      <c r="B173" s="2">
        <v>2</v>
      </c>
      <c r="C173" s="2" t="s">
        <v>45</v>
      </c>
      <c r="D173" s="2" t="s">
        <v>128</v>
      </c>
      <c r="E173" s="2" t="s">
        <v>288</v>
      </c>
      <c r="F173" s="2" t="s">
        <v>38</v>
      </c>
      <c r="G173" s="2">
        <v>1212</v>
      </c>
      <c r="H173" s="2" t="s">
        <v>473</v>
      </c>
      <c r="I173" s="2" t="s">
        <v>474</v>
      </c>
      <c r="J173" s="1">
        <f>VLOOKUP($H173,[1]Detail!$B:$R,14,0)</f>
        <v>2808388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200000</v>
      </c>
      <c r="Q173" s="1">
        <v>0</v>
      </c>
      <c r="R173" s="1">
        <v>0</v>
      </c>
      <c r="S173" s="1">
        <v>0</v>
      </c>
      <c r="T173" s="1">
        <v>0</v>
      </c>
      <c r="U173" s="1">
        <f>VLOOKUP($H173,[1]Detail!$B:$AI,34,0)</f>
        <v>0</v>
      </c>
    </row>
    <row r="174" spans="1:21" x14ac:dyDescent="0.35">
      <c r="A174" s="2">
        <v>173</v>
      </c>
      <c r="B174" s="2">
        <v>2</v>
      </c>
      <c r="C174" s="2" t="s">
        <v>45</v>
      </c>
      <c r="D174" s="2" t="s">
        <v>128</v>
      </c>
      <c r="E174" s="2" t="s">
        <v>475</v>
      </c>
      <c r="F174" s="2" t="s">
        <v>38</v>
      </c>
      <c r="G174" s="2">
        <v>1213</v>
      </c>
      <c r="H174" s="2" t="s">
        <v>476</v>
      </c>
      <c r="I174" s="2" t="s">
        <v>477</v>
      </c>
      <c r="J174" s="1">
        <f>VLOOKUP($H174,[1]Detail!$B:$R,14,0)</f>
        <v>2750136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f>VLOOKUP($H174,[1]Detail!$B:$AI,34,0)</f>
        <v>0</v>
      </c>
    </row>
    <row r="175" spans="1:21" x14ac:dyDescent="0.35">
      <c r="A175" s="2">
        <v>174</v>
      </c>
      <c r="B175" s="2">
        <v>2</v>
      </c>
      <c r="C175" s="2" t="s">
        <v>50</v>
      </c>
      <c r="D175" s="2" t="s">
        <v>51</v>
      </c>
      <c r="E175" s="2" t="s">
        <v>411</v>
      </c>
      <c r="F175" s="2" t="s">
        <v>38</v>
      </c>
      <c r="G175" s="2">
        <v>7549</v>
      </c>
      <c r="H175" s="2" t="s">
        <v>478</v>
      </c>
      <c r="I175" s="2" t="s">
        <v>479</v>
      </c>
      <c r="J175" s="1">
        <f>VLOOKUP($H175,[1]Detail!$B:$R,14,0)</f>
        <v>3420000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f>VLOOKUP($H175,[1]Detail!$B:$AI,34,0)</f>
        <v>0</v>
      </c>
    </row>
    <row r="176" spans="1:21" x14ac:dyDescent="0.35">
      <c r="A176" s="2">
        <v>175</v>
      </c>
      <c r="B176" s="2">
        <v>2</v>
      </c>
      <c r="C176" s="2" t="s">
        <v>50</v>
      </c>
      <c r="D176" s="2" t="s">
        <v>51</v>
      </c>
      <c r="E176" s="2" t="s">
        <v>411</v>
      </c>
      <c r="F176" s="2" t="s">
        <v>38</v>
      </c>
      <c r="G176" s="2">
        <v>3173</v>
      </c>
      <c r="H176" s="2" t="s">
        <v>480</v>
      </c>
      <c r="I176" s="2" t="s">
        <v>481</v>
      </c>
      <c r="J176" s="1">
        <f>VLOOKUP($H176,[1]Detail!$B:$R,14,0)</f>
        <v>2808388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f>VLOOKUP($H176,[1]Detail!$B:$AI,34,0)</f>
        <v>0</v>
      </c>
    </row>
    <row r="177" spans="1:21" x14ac:dyDescent="0.35">
      <c r="A177" s="2">
        <v>176</v>
      </c>
      <c r="B177" s="2">
        <v>2</v>
      </c>
      <c r="C177" s="2" t="s">
        <v>21</v>
      </c>
      <c r="D177" s="2" t="s">
        <v>482</v>
      </c>
      <c r="E177" s="2" t="s">
        <v>482</v>
      </c>
      <c r="F177" s="2" t="s">
        <v>29</v>
      </c>
      <c r="G177" s="2">
        <v>1670</v>
      </c>
      <c r="H177" s="2" t="s">
        <v>483</v>
      </c>
      <c r="I177" s="2" t="s">
        <v>484</v>
      </c>
      <c r="J177" s="1">
        <f>VLOOKUP($H177,[1]Detail!$B:$R,14,0)</f>
        <v>31000000</v>
      </c>
      <c r="K177" s="1">
        <v>4000000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f>VLOOKUP($H177,[1]Detail!$B:$AI,34,0)</f>
        <v>0</v>
      </c>
    </row>
    <row r="178" spans="1:21" x14ac:dyDescent="0.35">
      <c r="A178" s="2">
        <v>177</v>
      </c>
      <c r="B178" s="2">
        <v>2</v>
      </c>
      <c r="C178" s="2" t="s">
        <v>64</v>
      </c>
      <c r="D178" s="2" t="s">
        <v>178</v>
      </c>
      <c r="E178" s="2" t="s">
        <v>450</v>
      </c>
      <c r="F178" s="2" t="s">
        <v>38</v>
      </c>
      <c r="G178" s="2">
        <v>1013</v>
      </c>
      <c r="H178" s="2" t="s">
        <v>485</v>
      </c>
      <c r="I178" s="2" t="s">
        <v>486</v>
      </c>
      <c r="J178" s="1">
        <f>VLOOKUP($H178,[1]Detail!$B:$R,14,0)</f>
        <v>2779016</v>
      </c>
      <c r="K178" s="1">
        <v>0</v>
      </c>
      <c r="L178" s="1">
        <v>250000</v>
      </c>
      <c r="M178" s="1">
        <v>0</v>
      </c>
      <c r="N178" s="1">
        <v>0</v>
      </c>
      <c r="O178" s="1">
        <v>0</v>
      </c>
      <c r="P178" s="1">
        <v>200000</v>
      </c>
      <c r="Q178" s="1">
        <v>0</v>
      </c>
      <c r="R178" s="1">
        <v>0</v>
      </c>
      <c r="S178" s="1">
        <v>0</v>
      </c>
      <c r="T178" s="1">
        <v>0</v>
      </c>
      <c r="U178" s="1">
        <f>VLOOKUP($H178,[1]Detail!$B:$AI,34,0)</f>
        <v>0</v>
      </c>
    </row>
    <row r="179" spans="1:21" x14ac:dyDescent="0.35">
      <c r="A179" s="2">
        <v>178</v>
      </c>
      <c r="B179" s="2">
        <v>2</v>
      </c>
      <c r="C179" s="2" t="s">
        <v>73</v>
      </c>
      <c r="D179" s="2" t="s">
        <v>84</v>
      </c>
      <c r="E179" s="2" t="s">
        <v>487</v>
      </c>
      <c r="F179" s="2" t="s">
        <v>104</v>
      </c>
      <c r="G179" s="2">
        <v>7842</v>
      </c>
      <c r="H179" s="2" t="s">
        <v>488</v>
      </c>
      <c r="I179" s="2" t="s">
        <v>489</v>
      </c>
      <c r="J179" s="1">
        <f>VLOOKUP($H179,[1]Detail!$B:$R,14,0)</f>
        <v>5550436</v>
      </c>
      <c r="K179" s="1">
        <v>1000000</v>
      </c>
      <c r="L179" s="1">
        <v>0</v>
      </c>
      <c r="M179" s="1">
        <v>19000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f>VLOOKUP($H179,[1]Detail!$B:$AI,34,0)</f>
        <v>0</v>
      </c>
    </row>
    <row r="180" spans="1:21" x14ac:dyDescent="0.35">
      <c r="A180" s="2">
        <v>179</v>
      </c>
      <c r="B180" s="2">
        <v>2</v>
      </c>
      <c r="C180" s="2" t="s">
        <v>64</v>
      </c>
      <c r="D180" s="2" t="s">
        <v>178</v>
      </c>
      <c r="E180" s="2" t="s">
        <v>450</v>
      </c>
      <c r="F180" s="2" t="s">
        <v>38</v>
      </c>
      <c r="G180" s="2">
        <v>1015</v>
      </c>
      <c r="H180" s="2" t="s">
        <v>490</v>
      </c>
      <c r="I180" s="2" t="s">
        <v>491</v>
      </c>
      <c r="J180" s="1">
        <f>VLOOKUP($H180,[1]Detail!$B:$R,14,0)</f>
        <v>2779016</v>
      </c>
      <c r="K180" s="1">
        <v>0</v>
      </c>
      <c r="L180" s="1">
        <v>250000</v>
      </c>
      <c r="M180" s="1">
        <v>0</v>
      </c>
      <c r="N180" s="1">
        <v>0</v>
      </c>
      <c r="O180" s="1">
        <v>0</v>
      </c>
      <c r="P180" s="1">
        <v>200000</v>
      </c>
      <c r="Q180" s="1">
        <v>0</v>
      </c>
      <c r="R180" s="1">
        <v>0</v>
      </c>
      <c r="S180" s="1">
        <v>0</v>
      </c>
      <c r="T180" s="1">
        <v>0</v>
      </c>
      <c r="U180" s="1">
        <f>VLOOKUP($H180,[1]Detail!$B:$AI,34,0)</f>
        <v>0</v>
      </c>
    </row>
    <row r="181" spans="1:21" x14ac:dyDescent="0.35">
      <c r="A181" s="2">
        <v>180</v>
      </c>
      <c r="B181" s="2">
        <v>2</v>
      </c>
      <c r="C181" s="2" t="s">
        <v>64</v>
      </c>
      <c r="D181" s="2" t="s">
        <v>178</v>
      </c>
      <c r="E181" s="2" t="s">
        <v>179</v>
      </c>
      <c r="F181" s="2" t="s">
        <v>38</v>
      </c>
      <c r="G181" s="2">
        <v>1057</v>
      </c>
      <c r="H181" s="2" t="s">
        <v>492</v>
      </c>
      <c r="I181" s="2" t="s">
        <v>493</v>
      </c>
      <c r="J181" s="1">
        <f>VLOOKUP($H181,[1]Detail!$B:$R,14,0)</f>
        <v>2750136</v>
      </c>
      <c r="K181" s="1">
        <v>0</v>
      </c>
      <c r="L181" s="1">
        <v>250000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f>VLOOKUP($H181,[1]Detail!$B:$AI,34,0)</f>
        <v>0</v>
      </c>
    </row>
    <row r="182" spans="1:21" x14ac:dyDescent="0.35">
      <c r="A182" s="2">
        <v>181</v>
      </c>
      <c r="B182" s="2">
        <v>2</v>
      </c>
      <c r="C182" s="2" t="s">
        <v>45</v>
      </c>
      <c r="D182" s="2" t="s">
        <v>46</v>
      </c>
      <c r="E182" s="2" t="s">
        <v>494</v>
      </c>
      <c r="F182" s="2" t="s">
        <v>38</v>
      </c>
      <c r="G182" s="2">
        <v>1076</v>
      </c>
      <c r="H182" s="2" t="s">
        <v>495</v>
      </c>
      <c r="I182" s="2" t="s">
        <v>496</v>
      </c>
      <c r="J182" s="1">
        <f>VLOOKUP($H182,[1]Detail!$B:$R,14,0)</f>
        <v>2750136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f>VLOOKUP($H182,[1]Detail!$B:$AI,34,0)</f>
        <v>0</v>
      </c>
    </row>
    <row r="183" spans="1:21" x14ac:dyDescent="0.35">
      <c r="A183" s="2">
        <v>182</v>
      </c>
      <c r="B183" s="2">
        <v>2</v>
      </c>
      <c r="C183" s="2" t="s">
        <v>45</v>
      </c>
      <c r="D183" s="2" t="s">
        <v>128</v>
      </c>
      <c r="E183" s="2" t="s">
        <v>497</v>
      </c>
      <c r="F183" s="2" t="s">
        <v>38</v>
      </c>
      <c r="G183" s="2">
        <v>1077</v>
      </c>
      <c r="H183" s="2" t="s">
        <v>498</v>
      </c>
      <c r="I183" s="2" t="s">
        <v>499</v>
      </c>
      <c r="J183" s="1">
        <f>VLOOKUP($H183,[1]Detail!$B:$R,14,0)</f>
        <v>2750136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200000</v>
      </c>
      <c r="Q183" s="1">
        <v>0</v>
      </c>
      <c r="R183" s="1">
        <v>0</v>
      </c>
      <c r="S183" s="1">
        <v>0</v>
      </c>
      <c r="T183" s="1">
        <v>0</v>
      </c>
      <c r="U183" s="1">
        <f>VLOOKUP($H183,[1]Detail!$B:$AI,34,0)</f>
        <v>0</v>
      </c>
    </row>
    <row r="184" spans="1:21" x14ac:dyDescent="0.35">
      <c r="A184" s="2">
        <v>183</v>
      </c>
      <c r="B184" s="2">
        <v>2</v>
      </c>
      <c r="C184" s="2" t="s">
        <v>45</v>
      </c>
      <c r="D184" s="2" t="s">
        <v>46</v>
      </c>
      <c r="E184" s="2" t="s">
        <v>47</v>
      </c>
      <c r="F184" s="2" t="s">
        <v>38</v>
      </c>
      <c r="G184" s="2">
        <v>1078</v>
      </c>
      <c r="H184" s="2" t="s">
        <v>500</v>
      </c>
      <c r="I184" s="2" t="s">
        <v>501</v>
      </c>
      <c r="J184" s="1">
        <f>VLOOKUP($H184,[1]Detail!$B:$R,14,0)</f>
        <v>2750136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f>VLOOKUP($H184,[1]Detail!$B:$AI,34,0)</f>
        <v>0</v>
      </c>
    </row>
    <row r="185" spans="1:21" x14ac:dyDescent="0.35">
      <c r="A185" s="2">
        <v>184</v>
      </c>
      <c r="B185" s="2">
        <v>2</v>
      </c>
      <c r="C185" s="2" t="s">
        <v>45</v>
      </c>
      <c r="D185" s="2" t="s">
        <v>46</v>
      </c>
      <c r="E185" s="2" t="s">
        <v>47</v>
      </c>
      <c r="F185" s="2" t="s">
        <v>38</v>
      </c>
      <c r="G185" s="2">
        <v>1079</v>
      </c>
      <c r="H185" s="2" t="s">
        <v>502</v>
      </c>
      <c r="I185" s="2" t="s">
        <v>503</v>
      </c>
      <c r="J185" s="1">
        <f>VLOOKUP($H185,[1]Detail!$B:$R,14,0)</f>
        <v>2750136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f>VLOOKUP($H185,[1]Detail!$B:$AI,34,0)</f>
        <v>0</v>
      </c>
    </row>
    <row r="186" spans="1:21" x14ac:dyDescent="0.35">
      <c r="A186" s="2">
        <v>185</v>
      </c>
      <c r="B186" s="2">
        <v>2</v>
      </c>
      <c r="C186" s="2" t="s">
        <v>50</v>
      </c>
      <c r="D186" s="2" t="s">
        <v>51</v>
      </c>
      <c r="E186" s="2" t="s">
        <v>504</v>
      </c>
      <c r="F186" s="2" t="s">
        <v>42</v>
      </c>
      <c r="G186" s="2">
        <v>8552</v>
      </c>
      <c r="H186" s="2" t="s">
        <v>505</v>
      </c>
      <c r="I186" s="2" t="s">
        <v>506</v>
      </c>
      <c r="J186" s="1">
        <f>VLOOKUP($H186,[1]Detail!$B:$R,14,0)</f>
        <v>2800000</v>
      </c>
      <c r="K186" s="1">
        <v>500000</v>
      </c>
      <c r="L186" s="1">
        <v>0</v>
      </c>
      <c r="M186" s="1">
        <v>11900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f>VLOOKUP($H186,[1]Detail!$B:$AI,34,0)</f>
        <v>0</v>
      </c>
    </row>
    <row r="187" spans="1:21" x14ac:dyDescent="0.35">
      <c r="A187" s="2">
        <v>186</v>
      </c>
      <c r="B187" s="2">
        <v>2</v>
      </c>
      <c r="C187" s="2" t="s">
        <v>64</v>
      </c>
      <c r="D187" s="2" t="s">
        <v>178</v>
      </c>
      <c r="E187" s="2" t="s">
        <v>179</v>
      </c>
      <c r="F187" s="2" t="s">
        <v>38</v>
      </c>
      <c r="G187" s="2">
        <v>1522</v>
      </c>
      <c r="H187" s="2" t="s">
        <v>507</v>
      </c>
      <c r="I187" s="2" t="s">
        <v>508</v>
      </c>
      <c r="J187" s="1">
        <f>VLOOKUP($H187,[1]Detail!$B:$R,14,0)</f>
        <v>2750136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f>VLOOKUP($H187,[1]Detail!$B:$AI,34,0)</f>
        <v>0</v>
      </c>
    </row>
    <row r="188" spans="1:21" x14ac:dyDescent="0.35">
      <c r="A188" s="2">
        <v>187</v>
      </c>
      <c r="B188" s="2">
        <v>2</v>
      </c>
      <c r="C188" s="2" t="s">
        <v>45</v>
      </c>
      <c r="D188" s="2" t="s">
        <v>46</v>
      </c>
      <c r="E188" s="2" t="s">
        <v>47</v>
      </c>
      <c r="F188" s="2" t="s">
        <v>38</v>
      </c>
      <c r="G188" s="2">
        <v>1673</v>
      </c>
      <c r="H188" s="2" t="s">
        <v>509</v>
      </c>
      <c r="I188" s="2" t="s">
        <v>510</v>
      </c>
      <c r="J188" s="1">
        <f>VLOOKUP($H188,[1]Detail!$B:$R,14,0)</f>
        <v>2750136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f>VLOOKUP($H188,[1]Detail!$B:$AI,34,0)</f>
        <v>0</v>
      </c>
    </row>
    <row r="189" spans="1:21" x14ac:dyDescent="0.35">
      <c r="A189" s="2">
        <v>188</v>
      </c>
      <c r="B189" s="2">
        <v>2</v>
      </c>
      <c r="C189" s="2" t="s">
        <v>45</v>
      </c>
      <c r="D189" s="2" t="s">
        <v>128</v>
      </c>
      <c r="E189" s="2" t="s">
        <v>149</v>
      </c>
      <c r="F189" s="2" t="s">
        <v>38</v>
      </c>
      <c r="G189" s="2">
        <v>1675</v>
      </c>
      <c r="H189" s="2" t="s">
        <v>511</v>
      </c>
      <c r="I189" s="2" t="s">
        <v>512</v>
      </c>
      <c r="J189" s="1">
        <f>VLOOKUP($H189,[1]Detail!$B:$R,14,0)</f>
        <v>2750136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f>VLOOKUP($H189,[1]Detail!$B:$AI,34,0)</f>
        <v>0</v>
      </c>
    </row>
    <row r="190" spans="1:21" x14ac:dyDescent="0.35">
      <c r="A190" s="2">
        <v>189</v>
      </c>
      <c r="B190" s="2">
        <v>2</v>
      </c>
      <c r="C190" s="2" t="s">
        <v>45</v>
      </c>
      <c r="D190" s="2" t="s">
        <v>128</v>
      </c>
      <c r="E190" s="2" t="s">
        <v>149</v>
      </c>
      <c r="F190" s="2" t="s">
        <v>38</v>
      </c>
      <c r="G190" s="2">
        <v>1676</v>
      </c>
      <c r="H190" s="2" t="s">
        <v>513</v>
      </c>
      <c r="I190" s="2" t="s">
        <v>514</v>
      </c>
      <c r="J190" s="1">
        <f>VLOOKUP($H190,[1]Detail!$B:$R,14,0)</f>
        <v>2750136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f>VLOOKUP($H190,[1]Detail!$B:$AI,34,0)</f>
        <v>0</v>
      </c>
    </row>
    <row r="191" spans="1:21" x14ac:dyDescent="0.35">
      <c r="A191" s="2">
        <v>190</v>
      </c>
      <c r="B191" s="2">
        <v>2</v>
      </c>
      <c r="C191" s="2" t="s">
        <v>50</v>
      </c>
      <c r="D191" s="2" t="s">
        <v>51</v>
      </c>
      <c r="E191" s="2" t="s">
        <v>52</v>
      </c>
      <c r="F191" s="2" t="s">
        <v>38</v>
      </c>
      <c r="G191" s="2">
        <v>1678</v>
      </c>
      <c r="H191" s="2" t="s">
        <v>515</v>
      </c>
      <c r="I191" s="2" t="s">
        <v>516</v>
      </c>
      <c r="J191" s="1">
        <f>VLOOKUP($H191,[1]Detail!$B:$R,14,0)</f>
        <v>2750136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f>VLOOKUP($H191,[1]Detail!$B:$AI,34,0)</f>
        <v>0</v>
      </c>
    </row>
    <row r="192" spans="1:21" x14ac:dyDescent="0.35">
      <c r="A192" s="2">
        <v>191</v>
      </c>
      <c r="B192" s="2">
        <v>2</v>
      </c>
      <c r="C192" s="2" t="s">
        <v>45</v>
      </c>
      <c r="D192" s="2" t="s">
        <v>128</v>
      </c>
      <c r="E192" s="2" t="s">
        <v>291</v>
      </c>
      <c r="F192" s="2" t="s">
        <v>38</v>
      </c>
      <c r="G192" s="2">
        <v>1679</v>
      </c>
      <c r="H192" s="2" t="s">
        <v>517</v>
      </c>
      <c r="I192" s="2" t="s">
        <v>518</v>
      </c>
      <c r="J192" s="1">
        <f>VLOOKUP($H192,[1]Detail!$B:$R,14,0)</f>
        <v>2750136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f>VLOOKUP($H192,[1]Detail!$B:$AI,34,0)</f>
        <v>0</v>
      </c>
    </row>
    <row r="193" spans="1:21" x14ac:dyDescent="0.35">
      <c r="A193" s="2">
        <v>192</v>
      </c>
      <c r="B193" s="2">
        <v>2</v>
      </c>
      <c r="C193" s="2" t="s">
        <v>50</v>
      </c>
      <c r="D193" s="2" t="s">
        <v>102</v>
      </c>
      <c r="E193" s="2" t="s">
        <v>519</v>
      </c>
      <c r="F193" s="2" t="s">
        <v>38</v>
      </c>
      <c r="G193" s="2">
        <v>1680</v>
      </c>
      <c r="H193" s="2" t="s">
        <v>520</v>
      </c>
      <c r="I193" s="2" t="s">
        <v>521</v>
      </c>
      <c r="J193" s="1">
        <f>VLOOKUP($H193,[1]Detail!$B:$R,14,0)</f>
        <v>2950753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f>VLOOKUP($H193,[1]Detail!$B:$AI,34,0)</f>
        <v>0</v>
      </c>
    </row>
    <row r="194" spans="1:21" x14ac:dyDescent="0.35">
      <c r="A194" s="2">
        <v>193</v>
      </c>
      <c r="B194" s="2">
        <v>2</v>
      </c>
      <c r="C194" s="2" t="s">
        <v>73</v>
      </c>
      <c r="D194" s="2" t="s">
        <v>84</v>
      </c>
      <c r="E194" s="2" t="s">
        <v>85</v>
      </c>
      <c r="F194" s="2" t="s">
        <v>38</v>
      </c>
      <c r="G194" s="2">
        <v>1738</v>
      </c>
      <c r="H194" s="2" t="s">
        <v>522</v>
      </c>
      <c r="I194" s="2" t="s">
        <v>523</v>
      </c>
      <c r="J194" s="1">
        <f>VLOOKUP($H194,[1]Detail!$B:$R,14,0)</f>
        <v>2750136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f>VLOOKUP($H194,[1]Detail!$B:$AI,34,0)</f>
        <v>0</v>
      </c>
    </row>
    <row r="195" spans="1:21" x14ac:dyDescent="0.35">
      <c r="A195" s="2">
        <v>194</v>
      </c>
      <c r="B195" s="2">
        <v>2</v>
      </c>
      <c r="C195" s="2" t="s">
        <v>73</v>
      </c>
      <c r="D195" s="2" t="s">
        <v>84</v>
      </c>
      <c r="E195" s="2" t="s">
        <v>85</v>
      </c>
      <c r="F195" s="2" t="s">
        <v>38</v>
      </c>
      <c r="G195" s="2">
        <v>1739</v>
      </c>
      <c r="H195" s="2" t="s">
        <v>524</v>
      </c>
      <c r="I195" s="2" t="s">
        <v>525</v>
      </c>
      <c r="J195" s="1">
        <f>VLOOKUP($H195,[1]Detail!$B:$R,14,0)</f>
        <v>2750136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f>VLOOKUP($H195,[1]Detail!$B:$AI,34,0)</f>
        <v>0</v>
      </c>
    </row>
    <row r="196" spans="1:21" x14ac:dyDescent="0.35">
      <c r="A196" s="2">
        <v>195</v>
      </c>
      <c r="B196" s="2">
        <v>2</v>
      </c>
      <c r="C196" s="2" t="s">
        <v>64</v>
      </c>
      <c r="D196" s="2" t="s">
        <v>78</v>
      </c>
      <c r="E196" s="2" t="s">
        <v>79</v>
      </c>
      <c r="F196" s="2" t="s">
        <v>38</v>
      </c>
      <c r="G196" s="2">
        <v>1740</v>
      </c>
      <c r="H196" s="2" t="s">
        <v>526</v>
      </c>
      <c r="I196" s="2" t="s">
        <v>527</v>
      </c>
      <c r="J196" s="1">
        <f>VLOOKUP($H196,[1]Detail!$B:$R,14,0)</f>
        <v>2750136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f>VLOOKUP($H196,[1]Detail!$B:$AI,34,0)</f>
        <v>0</v>
      </c>
    </row>
    <row r="197" spans="1:21" x14ac:dyDescent="0.35">
      <c r="A197" s="2">
        <v>196</v>
      </c>
      <c r="B197" s="2">
        <v>2</v>
      </c>
      <c r="C197" s="2" t="s">
        <v>64</v>
      </c>
      <c r="D197" s="2" t="s">
        <v>78</v>
      </c>
      <c r="E197" s="2" t="s">
        <v>79</v>
      </c>
      <c r="F197" s="2" t="s">
        <v>38</v>
      </c>
      <c r="G197" s="2">
        <v>1741</v>
      </c>
      <c r="H197" s="2" t="s">
        <v>528</v>
      </c>
      <c r="I197" s="2" t="s">
        <v>529</v>
      </c>
      <c r="J197" s="1">
        <f>VLOOKUP($H197,[1]Detail!$B:$R,14,0)</f>
        <v>2750136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f>VLOOKUP($H197,[1]Detail!$B:$AI,34,0)</f>
        <v>0</v>
      </c>
    </row>
    <row r="198" spans="1:21" x14ac:dyDescent="0.35">
      <c r="A198" s="2">
        <v>197</v>
      </c>
      <c r="B198" s="2">
        <v>2</v>
      </c>
      <c r="C198" s="2" t="s">
        <v>64</v>
      </c>
      <c r="D198" s="2" t="s">
        <v>78</v>
      </c>
      <c r="E198" s="2" t="s">
        <v>79</v>
      </c>
      <c r="F198" s="2" t="s">
        <v>38</v>
      </c>
      <c r="G198" s="2">
        <v>1742</v>
      </c>
      <c r="H198" s="2" t="s">
        <v>530</v>
      </c>
      <c r="I198" s="2" t="s">
        <v>531</v>
      </c>
      <c r="J198" s="1">
        <f>VLOOKUP($H198,[1]Detail!$B:$R,14,0)</f>
        <v>2750136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f>VLOOKUP($H198,[1]Detail!$B:$AI,34,0)</f>
        <v>0</v>
      </c>
    </row>
    <row r="199" spans="1:21" x14ac:dyDescent="0.35">
      <c r="A199" s="2">
        <v>198</v>
      </c>
      <c r="B199" s="2">
        <v>2</v>
      </c>
      <c r="C199" s="2" t="s">
        <v>64</v>
      </c>
      <c r="D199" s="2" t="s">
        <v>78</v>
      </c>
      <c r="E199" s="2" t="s">
        <v>79</v>
      </c>
      <c r="F199" s="2" t="s">
        <v>38</v>
      </c>
      <c r="G199" s="2">
        <v>1743</v>
      </c>
      <c r="H199" s="2" t="s">
        <v>532</v>
      </c>
      <c r="I199" s="2" t="s">
        <v>533</v>
      </c>
      <c r="J199" s="1">
        <f>VLOOKUP($H199,[1]Detail!$B:$R,14,0)</f>
        <v>2750136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f>VLOOKUP($H199,[1]Detail!$B:$AI,34,0)</f>
        <v>0</v>
      </c>
    </row>
    <row r="200" spans="1:21" x14ac:dyDescent="0.35">
      <c r="A200" s="2">
        <v>199</v>
      </c>
      <c r="B200" s="2">
        <v>2</v>
      </c>
      <c r="C200" s="2" t="s">
        <v>73</v>
      </c>
      <c r="D200" s="2" t="s">
        <v>74</v>
      </c>
      <c r="E200" s="2" t="s">
        <v>107</v>
      </c>
      <c r="F200" s="2" t="s">
        <v>38</v>
      </c>
      <c r="G200" s="2">
        <v>1744</v>
      </c>
      <c r="H200" s="2" t="s">
        <v>534</v>
      </c>
      <c r="I200" s="2" t="s">
        <v>535</v>
      </c>
      <c r="J200" s="1">
        <f>VLOOKUP($H200,[1]Detail!$B:$R,14,0)</f>
        <v>2750136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f>VLOOKUP($H200,[1]Detail!$B:$AI,34,0)</f>
        <v>0</v>
      </c>
    </row>
    <row r="201" spans="1:21" x14ac:dyDescent="0.35">
      <c r="A201" s="2">
        <v>200</v>
      </c>
      <c r="B201" s="2">
        <v>2</v>
      </c>
      <c r="C201" s="2" t="s">
        <v>73</v>
      </c>
      <c r="D201" s="2" t="s">
        <v>74</v>
      </c>
      <c r="E201" s="2" t="s">
        <v>107</v>
      </c>
      <c r="F201" s="2" t="s">
        <v>38</v>
      </c>
      <c r="G201" s="2">
        <v>1745</v>
      </c>
      <c r="H201" s="2" t="s">
        <v>536</v>
      </c>
      <c r="I201" s="2" t="s">
        <v>537</v>
      </c>
      <c r="J201" s="1">
        <f>VLOOKUP($H201,[1]Detail!$B:$R,14,0)</f>
        <v>2750136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f>VLOOKUP($H201,[1]Detail!$B:$AI,34,0)</f>
        <v>0</v>
      </c>
    </row>
    <row r="202" spans="1:21" x14ac:dyDescent="0.35">
      <c r="A202" s="2">
        <v>201</v>
      </c>
      <c r="B202" s="2">
        <v>2</v>
      </c>
      <c r="C202" s="2" t="s">
        <v>73</v>
      </c>
      <c r="D202" s="2" t="s">
        <v>74</v>
      </c>
      <c r="E202" s="2" t="s">
        <v>75</v>
      </c>
      <c r="F202" s="2" t="s">
        <v>38</v>
      </c>
      <c r="G202" s="2">
        <v>1746</v>
      </c>
      <c r="H202" s="2" t="s">
        <v>538</v>
      </c>
      <c r="I202" s="2" t="s">
        <v>539</v>
      </c>
      <c r="J202" s="1">
        <f>VLOOKUP($H202,[1]Detail!$B:$R,14,0)</f>
        <v>2750136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f>VLOOKUP($H202,[1]Detail!$B:$AI,34,0)</f>
        <v>0</v>
      </c>
    </row>
    <row r="203" spans="1:21" x14ac:dyDescent="0.35">
      <c r="A203" s="2">
        <v>202</v>
      </c>
      <c r="B203" s="2">
        <v>2</v>
      </c>
      <c r="C203" s="2" t="s">
        <v>73</v>
      </c>
      <c r="D203" s="2" t="s">
        <v>74</v>
      </c>
      <c r="E203" s="2" t="s">
        <v>75</v>
      </c>
      <c r="F203" s="2" t="s">
        <v>38</v>
      </c>
      <c r="G203" s="2">
        <v>1747</v>
      </c>
      <c r="H203" s="2" t="s">
        <v>540</v>
      </c>
      <c r="I203" s="2" t="s">
        <v>541</v>
      </c>
      <c r="J203" s="1">
        <f>VLOOKUP($H203,[1]Detail!$B:$R,14,0)</f>
        <v>2750136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f>VLOOKUP($H203,[1]Detail!$B:$AI,34,0)</f>
        <v>0</v>
      </c>
    </row>
    <row r="204" spans="1:21" x14ac:dyDescent="0.35">
      <c r="A204" s="2">
        <v>203</v>
      </c>
      <c r="B204" s="2">
        <v>2</v>
      </c>
      <c r="C204" s="2" t="s">
        <v>32</v>
      </c>
      <c r="D204" s="2" t="s">
        <v>36</v>
      </c>
      <c r="E204" s="2" t="s">
        <v>542</v>
      </c>
      <c r="F204" s="2" t="s">
        <v>42</v>
      </c>
      <c r="G204" s="2">
        <v>1155</v>
      </c>
      <c r="H204" s="2" t="s">
        <v>543</v>
      </c>
      <c r="I204" s="2" t="s">
        <v>544</v>
      </c>
      <c r="J204" s="1">
        <f>VLOOKUP($H204,[1]Detail!$B:$R,14,0)</f>
        <v>3080000</v>
      </c>
      <c r="K204" s="1">
        <v>500000</v>
      </c>
      <c r="L204" s="1">
        <v>0</v>
      </c>
      <c r="M204" s="1">
        <v>11900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f>VLOOKUP($H204,[1]Detail!$B:$AI,34,0)</f>
        <v>0</v>
      </c>
    </row>
    <row r="205" spans="1:21" x14ac:dyDescent="0.35">
      <c r="A205" s="2">
        <v>204</v>
      </c>
      <c r="B205" s="2">
        <v>2</v>
      </c>
      <c r="C205" s="2" t="s">
        <v>21</v>
      </c>
      <c r="D205" s="2" t="s">
        <v>50</v>
      </c>
      <c r="E205" s="2" t="s">
        <v>545</v>
      </c>
      <c r="F205" s="2" t="s">
        <v>24</v>
      </c>
      <c r="G205" s="2">
        <v>5935</v>
      </c>
      <c r="H205" s="2" t="s">
        <v>546</v>
      </c>
      <c r="I205" s="2" t="s">
        <v>547</v>
      </c>
      <c r="J205" s="1">
        <f>VLOOKUP($H205,[1]Detail!$B:$R,14,0)</f>
        <v>9629436</v>
      </c>
      <c r="K205" s="1">
        <v>2000000</v>
      </c>
      <c r="L205" s="1">
        <v>0</v>
      </c>
      <c r="M205" s="1">
        <v>47600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f>VLOOKUP($H205,[1]Detail!$B:$AI,34,0)</f>
        <v>116294</v>
      </c>
    </row>
    <row r="206" spans="1:21" x14ac:dyDescent="0.35">
      <c r="A206" s="2">
        <v>205</v>
      </c>
      <c r="B206" s="2">
        <v>2</v>
      </c>
      <c r="C206" s="2" t="s">
        <v>73</v>
      </c>
      <c r="D206" s="2" t="s">
        <v>74</v>
      </c>
      <c r="E206" s="2" t="s">
        <v>75</v>
      </c>
      <c r="F206" s="2" t="s">
        <v>38</v>
      </c>
      <c r="G206" s="2">
        <v>1058</v>
      </c>
      <c r="H206" s="2" t="s">
        <v>548</v>
      </c>
      <c r="I206" s="2" t="s">
        <v>549</v>
      </c>
      <c r="J206" s="1">
        <f>VLOOKUP($H206,[1]Detail!$B:$R,14,0)</f>
        <v>2750136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f>VLOOKUP($H206,[1]Detail!$B:$AI,34,0)</f>
        <v>0</v>
      </c>
    </row>
    <row r="207" spans="1:21" x14ac:dyDescent="0.35">
      <c r="A207" s="2">
        <v>206</v>
      </c>
      <c r="B207" s="2">
        <v>2</v>
      </c>
      <c r="C207" s="2" t="s">
        <v>73</v>
      </c>
      <c r="D207" s="2" t="s">
        <v>74</v>
      </c>
      <c r="E207" s="2" t="s">
        <v>75</v>
      </c>
      <c r="F207" s="2" t="s">
        <v>38</v>
      </c>
      <c r="G207" s="2">
        <v>1059</v>
      </c>
      <c r="H207" s="2" t="s">
        <v>550</v>
      </c>
      <c r="I207" s="2" t="s">
        <v>551</v>
      </c>
      <c r="J207" s="1">
        <f>VLOOKUP($H207,[1]Detail!$B:$R,14,0)</f>
        <v>2750136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f>VLOOKUP($H207,[1]Detail!$B:$AI,34,0)</f>
        <v>0</v>
      </c>
    </row>
    <row r="208" spans="1:21" x14ac:dyDescent="0.35">
      <c r="A208" s="2">
        <v>207</v>
      </c>
      <c r="B208" s="2">
        <v>2</v>
      </c>
      <c r="C208" s="2" t="s">
        <v>64</v>
      </c>
      <c r="D208" s="2" t="s">
        <v>178</v>
      </c>
      <c r="E208" s="2" t="s">
        <v>179</v>
      </c>
      <c r="F208" s="2" t="s">
        <v>38</v>
      </c>
      <c r="G208" s="2">
        <v>1060</v>
      </c>
      <c r="H208" s="2" t="s">
        <v>552</v>
      </c>
      <c r="I208" s="2" t="s">
        <v>553</v>
      </c>
      <c r="J208" s="1">
        <f>VLOOKUP($H208,[1]Detail!$B:$R,14,0)</f>
        <v>2750136</v>
      </c>
      <c r="K208" s="1">
        <v>0</v>
      </c>
      <c r="L208" s="1">
        <v>250000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f>VLOOKUP($H208,[1]Detail!$B:$AI,34,0)</f>
        <v>0</v>
      </c>
    </row>
    <row r="209" spans="1:21" x14ac:dyDescent="0.35">
      <c r="A209" s="2">
        <v>208</v>
      </c>
      <c r="B209" s="2">
        <v>2</v>
      </c>
      <c r="C209" s="2" t="s">
        <v>64</v>
      </c>
      <c r="D209" s="2" t="s">
        <v>178</v>
      </c>
      <c r="E209" s="2" t="s">
        <v>179</v>
      </c>
      <c r="F209" s="2" t="s">
        <v>38</v>
      </c>
      <c r="G209" s="2">
        <v>1061</v>
      </c>
      <c r="H209" s="2" t="s">
        <v>554</v>
      </c>
      <c r="I209" s="2" t="s">
        <v>555</v>
      </c>
      <c r="J209" s="1">
        <f>VLOOKUP($H209,[1]Detail!$B:$R,14,0)</f>
        <v>2750136</v>
      </c>
      <c r="K209" s="1">
        <v>0</v>
      </c>
      <c r="L209" s="1">
        <v>250000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f>VLOOKUP($H209,[1]Detail!$B:$AI,34,0)</f>
        <v>0</v>
      </c>
    </row>
    <row r="210" spans="1:21" x14ac:dyDescent="0.35">
      <c r="A210" s="2">
        <v>209</v>
      </c>
      <c r="B210" s="2">
        <v>2</v>
      </c>
      <c r="C210" s="2" t="s">
        <v>136</v>
      </c>
      <c r="D210" s="2" t="s">
        <v>378</v>
      </c>
      <c r="E210" s="2" t="s">
        <v>556</v>
      </c>
      <c r="F210" s="2" t="s">
        <v>104</v>
      </c>
      <c r="G210" s="2">
        <v>1412</v>
      </c>
      <c r="H210" s="2" t="s">
        <v>557</v>
      </c>
      <c r="I210" s="2" t="s">
        <v>558</v>
      </c>
      <c r="J210" s="1">
        <f>VLOOKUP($H210,[1]Detail!$B:$R,14,0)</f>
        <v>5100000</v>
      </c>
      <c r="K210" s="1">
        <v>1000000</v>
      </c>
      <c r="L210" s="1">
        <v>0</v>
      </c>
      <c r="M210" s="1">
        <v>19000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f>VLOOKUP($H210,[1]Detail!$B:$AI,34,0)</f>
        <v>0</v>
      </c>
    </row>
    <row r="211" spans="1:21" x14ac:dyDescent="0.35">
      <c r="A211" s="2">
        <v>210</v>
      </c>
      <c r="B211" s="2">
        <v>2</v>
      </c>
      <c r="C211" s="2" t="s">
        <v>64</v>
      </c>
      <c r="D211" s="2" t="s">
        <v>178</v>
      </c>
      <c r="E211" s="2" t="s">
        <v>179</v>
      </c>
      <c r="F211" s="2" t="s">
        <v>38</v>
      </c>
      <c r="G211" s="2">
        <v>1063</v>
      </c>
      <c r="H211" s="2" t="s">
        <v>559</v>
      </c>
      <c r="I211" s="2" t="s">
        <v>560</v>
      </c>
      <c r="J211" s="1">
        <f>VLOOKUP($H211,[1]Detail!$B:$R,14,0)</f>
        <v>2750136</v>
      </c>
      <c r="K211" s="1">
        <v>0</v>
      </c>
      <c r="L211" s="1">
        <v>250000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f>VLOOKUP($H211,[1]Detail!$B:$AI,34,0)</f>
        <v>0</v>
      </c>
    </row>
    <row r="212" spans="1:21" x14ac:dyDescent="0.35">
      <c r="A212" s="2">
        <v>211</v>
      </c>
      <c r="B212" s="2">
        <v>2</v>
      </c>
      <c r="C212" s="2" t="s">
        <v>64</v>
      </c>
      <c r="D212" s="2" t="s">
        <v>178</v>
      </c>
      <c r="E212" s="2" t="s">
        <v>179</v>
      </c>
      <c r="F212" s="2" t="s">
        <v>38</v>
      </c>
      <c r="G212" s="2">
        <v>1083</v>
      </c>
      <c r="H212" s="2" t="s">
        <v>561</v>
      </c>
      <c r="I212" s="2" t="s">
        <v>562</v>
      </c>
      <c r="J212" s="1">
        <f>VLOOKUP($H212,[1]Detail!$B:$R,14,0)</f>
        <v>2750136</v>
      </c>
      <c r="K212" s="1">
        <v>0</v>
      </c>
      <c r="L212" s="1">
        <v>250000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f>VLOOKUP($H212,[1]Detail!$B:$AI,34,0)</f>
        <v>0</v>
      </c>
    </row>
    <row r="213" spans="1:21" x14ac:dyDescent="0.35">
      <c r="A213" s="2">
        <v>212</v>
      </c>
      <c r="B213" s="2">
        <v>2</v>
      </c>
      <c r="C213" s="2" t="s">
        <v>73</v>
      </c>
      <c r="D213" s="2" t="s">
        <v>74</v>
      </c>
      <c r="E213" s="2" t="s">
        <v>563</v>
      </c>
      <c r="F213" s="2" t="s">
        <v>38</v>
      </c>
      <c r="G213" s="2">
        <v>1084</v>
      </c>
      <c r="H213" s="2" t="s">
        <v>564</v>
      </c>
      <c r="I213" s="2" t="s">
        <v>565</v>
      </c>
      <c r="J213" s="1">
        <f>VLOOKUP($H213,[1]Detail!$B:$R,14,0)</f>
        <v>3266432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f>VLOOKUP($H213,[1]Detail!$B:$AI,34,0)</f>
        <v>0</v>
      </c>
    </row>
    <row r="214" spans="1:21" x14ac:dyDescent="0.35">
      <c r="A214" s="2">
        <v>213</v>
      </c>
      <c r="B214" s="2">
        <v>2</v>
      </c>
      <c r="C214" s="2" t="s">
        <v>73</v>
      </c>
      <c r="D214" s="2" t="s">
        <v>84</v>
      </c>
      <c r="E214" s="2" t="s">
        <v>85</v>
      </c>
      <c r="F214" s="2" t="s">
        <v>38</v>
      </c>
      <c r="G214" s="2">
        <v>1085</v>
      </c>
      <c r="H214" s="2" t="s">
        <v>566</v>
      </c>
      <c r="I214" s="2" t="s">
        <v>567</v>
      </c>
      <c r="J214" s="1">
        <f>VLOOKUP($H214,[1]Detail!$B:$R,14,0)</f>
        <v>2750136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f>VLOOKUP($H214,[1]Detail!$B:$AI,34,0)</f>
        <v>0</v>
      </c>
    </row>
    <row r="215" spans="1:21" x14ac:dyDescent="0.35">
      <c r="A215" s="2">
        <v>214</v>
      </c>
      <c r="B215" s="2">
        <v>2</v>
      </c>
      <c r="C215" s="2" t="s">
        <v>73</v>
      </c>
      <c r="D215" s="2" t="s">
        <v>84</v>
      </c>
      <c r="E215" s="2" t="s">
        <v>568</v>
      </c>
      <c r="F215" s="2" t="s">
        <v>38</v>
      </c>
      <c r="G215" s="2">
        <v>1087</v>
      </c>
      <c r="H215" s="2" t="s">
        <v>569</v>
      </c>
      <c r="I215" s="2" t="s">
        <v>570</v>
      </c>
      <c r="J215" s="1">
        <f>VLOOKUP($H215,[1]Detail!$B:$R,14,0)</f>
        <v>2917967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200000</v>
      </c>
      <c r="Q215" s="1">
        <v>0</v>
      </c>
      <c r="R215" s="1">
        <v>0</v>
      </c>
      <c r="S215" s="1">
        <v>0</v>
      </c>
      <c r="T215" s="1">
        <v>0</v>
      </c>
      <c r="U215" s="1">
        <f>VLOOKUP($H215,[1]Detail!$B:$AI,34,0)</f>
        <v>0</v>
      </c>
    </row>
    <row r="216" spans="1:21" x14ac:dyDescent="0.35">
      <c r="A216" s="2">
        <v>215</v>
      </c>
      <c r="B216" s="2">
        <v>2</v>
      </c>
      <c r="C216" s="2" t="s">
        <v>73</v>
      </c>
      <c r="D216" s="2" t="s">
        <v>84</v>
      </c>
      <c r="E216" s="2" t="s">
        <v>571</v>
      </c>
      <c r="F216" s="2" t="s">
        <v>38</v>
      </c>
      <c r="G216" s="2">
        <v>1088</v>
      </c>
      <c r="H216" s="2" t="s">
        <v>572</v>
      </c>
      <c r="I216" s="2" t="s">
        <v>573</v>
      </c>
      <c r="J216" s="1">
        <f>VLOOKUP($H216,[1]Detail!$B:$R,14,0)</f>
        <v>2808680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f>VLOOKUP($H216,[1]Detail!$B:$AI,34,0)</f>
        <v>0</v>
      </c>
    </row>
    <row r="217" spans="1:21" x14ac:dyDescent="0.35">
      <c r="A217" s="2">
        <v>216</v>
      </c>
      <c r="B217" s="2">
        <v>2</v>
      </c>
      <c r="C217" s="2" t="s">
        <v>73</v>
      </c>
      <c r="D217" s="2" t="s">
        <v>84</v>
      </c>
      <c r="E217" s="2" t="s">
        <v>85</v>
      </c>
      <c r="F217" s="2" t="s">
        <v>38</v>
      </c>
      <c r="G217" s="2">
        <v>1089</v>
      </c>
      <c r="H217" s="2" t="s">
        <v>574</v>
      </c>
      <c r="I217" s="2" t="s">
        <v>575</v>
      </c>
      <c r="J217" s="1">
        <f>VLOOKUP($H217,[1]Detail!$B:$R,14,0)</f>
        <v>2750136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f>VLOOKUP($H217,[1]Detail!$B:$AI,34,0)</f>
        <v>0</v>
      </c>
    </row>
    <row r="218" spans="1:21" x14ac:dyDescent="0.35">
      <c r="A218" s="2">
        <v>217</v>
      </c>
      <c r="B218" s="2">
        <v>2</v>
      </c>
      <c r="C218" s="2" t="s">
        <v>73</v>
      </c>
      <c r="D218" s="2" t="s">
        <v>84</v>
      </c>
      <c r="E218" s="2" t="s">
        <v>568</v>
      </c>
      <c r="F218" s="2" t="s">
        <v>38</v>
      </c>
      <c r="G218" s="2">
        <v>1090</v>
      </c>
      <c r="H218" s="2" t="s">
        <v>576</v>
      </c>
      <c r="I218" s="2" t="s">
        <v>577</v>
      </c>
      <c r="J218" s="1">
        <f>VLOOKUP($H218,[1]Detail!$B:$R,14,0)</f>
        <v>2917967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200000</v>
      </c>
      <c r="Q218" s="1">
        <v>0</v>
      </c>
      <c r="R218" s="1">
        <v>0</v>
      </c>
      <c r="S218" s="1">
        <v>0</v>
      </c>
      <c r="T218" s="1">
        <v>0</v>
      </c>
      <c r="U218" s="1">
        <f>VLOOKUP($H218,[1]Detail!$B:$AI,34,0)</f>
        <v>0</v>
      </c>
    </row>
    <row r="219" spans="1:21" x14ac:dyDescent="0.35">
      <c r="A219" s="2">
        <v>218</v>
      </c>
      <c r="B219" s="2">
        <v>2</v>
      </c>
      <c r="C219" s="2" t="s">
        <v>73</v>
      </c>
      <c r="D219" s="2" t="s">
        <v>84</v>
      </c>
      <c r="E219" s="2" t="s">
        <v>571</v>
      </c>
      <c r="F219" s="2" t="s">
        <v>38</v>
      </c>
      <c r="G219" s="2">
        <v>1091</v>
      </c>
      <c r="H219" s="2" t="s">
        <v>578</v>
      </c>
      <c r="I219" s="2" t="s">
        <v>579</v>
      </c>
      <c r="J219" s="1">
        <f>VLOOKUP($H219,[1]Detail!$B:$R,14,0)</f>
        <v>2808680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f>VLOOKUP($H219,[1]Detail!$B:$AI,34,0)</f>
        <v>0</v>
      </c>
    </row>
    <row r="220" spans="1:21" x14ac:dyDescent="0.35">
      <c r="A220" s="2">
        <v>219</v>
      </c>
      <c r="B220" s="2">
        <v>2</v>
      </c>
      <c r="C220" s="2" t="s">
        <v>73</v>
      </c>
      <c r="D220" s="2" t="s">
        <v>84</v>
      </c>
      <c r="E220" s="2" t="s">
        <v>571</v>
      </c>
      <c r="F220" s="2" t="s">
        <v>38</v>
      </c>
      <c r="G220" s="2">
        <v>1092</v>
      </c>
      <c r="H220" s="2" t="s">
        <v>580</v>
      </c>
      <c r="I220" s="2" t="s">
        <v>581</v>
      </c>
      <c r="J220" s="1">
        <f>VLOOKUP($H220,[1]Detail!$B:$R,14,0)</f>
        <v>2808680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f>VLOOKUP($H220,[1]Detail!$B:$AI,34,0)</f>
        <v>0</v>
      </c>
    </row>
    <row r="221" spans="1:21" x14ac:dyDescent="0.35">
      <c r="A221" s="2">
        <v>220</v>
      </c>
      <c r="B221" s="2">
        <v>2</v>
      </c>
      <c r="C221" s="2" t="s">
        <v>73</v>
      </c>
      <c r="D221" s="2" t="s">
        <v>84</v>
      </c>
      <c r="E221" s="2" t="s">
        <v>85</v>
      </c>
      <c r="F221" s="2" t="s">
        <v>38</v>
      </c>
      <c r="G221" s="2">
        <v>1093</v>
      </c>
      <c r="H221" s="2" t="s">
        <v>582</v>
      </c>
      <c r="I221" s="2" t="s">
        <v>583</v>
      </c>
      <c r="J221" s="1">
        <f>VLOOKUP($H221,[1]Detail!$B:$R,14,0)</f>
        <v>2750136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f>VLOOKUP($H221,[1]Detail!$B:$AI,34,0)</f>
        <v>0</v>
      </c>
    </row>
    <row r="222" spans="1:21" x14ac:dyDescent="0.35">
      <c r="A222" s="2">
        <v>221</v>
      </c>
      <c r="B222" s="2">
        <v>2</v>
      </c>
      <c r="C222" s="2" t="s">
        <v>73</v>
      </c>
      <c r="D222" s="2" t="s">
        <v>84</v>
      </c>
      <c r="E222" s="2" t="s">
        <v>85</v>
      </c>
      <c r="F222" s="2" t="s">
        <v>38</v>
      </c>
      <c r="G222" s="2">
        <v>1094</v>
      </c>
      <c r="H222" s="2" t="s">
        <v>584</v>
      </c>
      <c r="I222" s="2" t="s">
        <v>585</v>
      </c>
      <c r="J222" s="1">
        <f>VLOOKUP($H222,[1]Detail!$B:$R,14,0)</f>
        <v>2750136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f>VLOOKUP($H222,[1]Detail!$B:$AI,34,0)</f>
        <v>0</v>
      </c>
    </row>
    <row r="223" spans="1:21" x14ac:dyDescent="0.35">
      <c r="A223" s="2">
        <v>222</v>
      </c>
      <c r="B223" s="2">
        <v>2</v>
      </c>
      <c r="C223" s="2" t="s">
        <v>73</v>
      </c>
      <c r="D223" s="2" t="s">
        <v>84</v>
      </c>
      <c r="E223" s="2" t="s">
        <v>85</v>
      </c>
      <c r="F223" s="2" t="s">
        <v>38</v>
      </c>
      <c r="G223" s="2">
        <v>1095</v>
      </c>
      <c r="H223" s="2" t="s">
        <v>586</v>
      </c>
      <c r="I223" s="2" t="s">
        <v>587</v>
      </c>
      <c r="J223" s="1">
        <f>VLOOKUP($H223,[1]Detail!$B:$R,14,0)</f>
        <v>2750136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f>VLOOKUP($H223,[1]Detail!$B:$AI,34,0)</f>
        <v>0</v>
      </c>
    </row>
    <row r="224" spans="1:21" x14ac:dyDescent="0.35">
      <c r="A224" s="2">
        <v>223</v>
      </c>
      <c r="B224" s="2">
        <v>2</v>
      </c>
      <c r="C224" s="2" t="s">
        <v>73</v>
      </c>
      <c r="D224" s="2" t="s">
        <v>84</v>
      </c>
      <c r="E224" s="2" t="s">
        <v>85</v>
      </c>
      <c r="F224" s="2" t="s">
        <v>38</v>
      </c>
      <c r="G224" s="2">
        <v>1096</v>
      </c>
      <c r="H224" s="2" t="s">
        <v>588</v>
      </c>
      <c r="I224" s="2" t="s">
        <v>589</v>
      </c>
      <c r="J224" s="1">
        <f>VLOOKUP($H224,[1]Detail!$B:$R,14,0)</f>
        <v>2750136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f>VLOOKUP($H224,[1]Detail!$B:$AI,34,0)</f>
        <v>0</v>
      </c>
    </row>
    <row r="225" spans="1:21" x14ac:dyDescent="0.35">
      <c r="A225" s="2">
        <v>224</v>
      </c>
      <c r="B225" s="2">
        <v>2</v>
      </c>
      <c r="C225" s="2" t="s">
        <v>73</v>
      </c>
      <c r="D225" s="2" t="s">
        <v>84</v>
      </c>
      <c r="E225" s="2" t="s">
        <v>85</v>
      </c>
      <c r="F225" s="2" t="s">
        <v>38</v>
      </c>
      <c r="G225" s="2">
        <v>1098</v>
      </c>
      <c r="H225" s="2" t="s">
        <v>590</v>
      </c>
      <c r="I225" s="2" t="s">
        <v>591</v>
      </c>
      <c r="J225" s="1">
        <f>VLOOKUP($H225,[1]Detail!$B:$R,14,0)</f>
        <v>2750136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f>VLOOKUP($H225,[1]Detail!$B:$AI,34,0)</f>
        <v>0</v>
      </c>
    </row>
    <row r="226" spans="1:21" x14ac:dyDescent="0.35">
      <c r="A226" s="2">
        <v>225</v>
      </c>
      <c r="B226" s="2">
        <v>2</v>
      </c>
      <c r="C226" s="2" t="s">
        <v>73</v>
      </c>
      <c r="D226" s="2" t="s">
        <v>84</v>
      </c>
      <c r="E226" s="2" t="s">
        <v>85</v>
      </c>
      <c r="F226" s="2" t="s">
        <v>38</v>
      </c>
      <c r="G226" s="2">
        <v>1099</v>
      </c>
      <c r="H226" s="2" t="s">
        <v>592</v>
      </c>
      <c r="I226" s="2" t="s">
        <v>593</v>
      </c>
      <c r="J226" s="1">
        <f>VLOOKUP($H226,[1]Detail!$B:$R,14,0)</f>
        <v>2750136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f>VLOOKUP($H226,[1]Detail!$B:$AI,34,0)</f>
        <v>0</v>
      </c>
    </row>
    <row r="227" spans="1:21" x14ac:dyDescent="0.35">
      <c r="A227" s="2">
        <v>226</v>
      </c>
      <c r="B227" s="2">
        <v>2</v>
      </c>
      <c r="C227" s="2" t="s">
        <v>64</v>
      </c>
      <c r="D227" s="2" t="s">
        <v>178</v>
      </c>
      <c r="E227" s="2" t="s">
        <v>179</v>
      </c>
      <c r="F227" s="2" t="s">
        <v>38</v>
      </c>
      <c r="G227" s="2">
        <v>1100</v>
      </c>
      <c r="H227" s="2" t="s">
        <v>594</v>
      </c>
      <c r="I227" s="2" t="s">
        <v>595</v>
      </c>
      <c r="J227" s="1">
        <f>VLOOKUP($H227,[1]Detail!$B:$R,14,0)</f>
        <v>2750136</v>
      </c>
      <c r="K227" s="1">
        <v>0</v>
      </c>
      <c r="L227" s="1">
        <v>250000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f>VLOOKUP($H227,[1]Detail!$B:$AI,34,0)</f>
        <v>0</v>
      </c>
    </row>
    <row r="228" spans="1:21" x14ac:dyDescent="0.35">
      <c r="A228" s="2">
        <v>227</v>
      </c>
      <c r="B228" s="2">
        <v>2</v>
      </c>
      <c r="C228" s="2" t="s">
        <v>64</v>
      </c>
      <c r="D228" s="2" t="s">
        <v>78</v>
      </c>
      <c r="E228" s="2" t="s">
        <v>79</v>
      </c>
      <c r="F228" s="2" t="s">
        <v>38</v>
      </c>
      <c r="G228" s="2">
        <v>1157</v>
      </c>
      <c r="H228" s="2" t="s">
        <v>596</v>
      </c>
      <c r="I228" s="2" t="s">
        <v>597</v>
      </c>
      <c r="J228" s="1">
        <f>VLOOKUP($H228,[1]Detail!$B:$R,14,0)</f>
        <v>2750136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f>VLOOKUP($H228,[1]Detail!$B:$AI,34,0)</f>
        <v>0</v>
      </c>
    </row>
    <row r="229" spans="1:21" x14ac:dyDescent="0.35">
      <c r="A229" s="2">
        <v>228</v>
      </c>
      <c r="B229" s="2">
        <v>2</v>
      </c>
      <c r="C229" s="2" t="s">
        <v>45</v>
      </c>
      <c r="D229" s="2" t="s">
        <v>46</v>
      </c>
      <c r="E229" s="2" t="s">
        <v>47</v>
      </c>
      <c r="F229" s="2" t="s">
        <v>38</v>
      </c>
      <c r="G229" s="2">
        <v>1553</v>
      </c>
      <c r="H229" s="2" t="s">
        <v>598</v>
      </c>
      <c r="I229" s="2" t="s">
        <v>599</v>
      </c>
      <c r="J229" s="1">
        <f>VLOOKUP($H229,[1]Detail!$B:$R,14,0)</f>
        <v>2750136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f>VLOOKUP($H229,[1]Detail!$B:$AI,34,0)</f>
        <v>0</v>
      </c>
    </row>
    <row r="230" spans="1:21" x14ac:dyDescent="0.35">
      <c r="A230" s="2">
        <v>229</v>
      </c>
      <c r="B230" s="2">
        <v>2</v>
      </c>
      <c r="C230" s="2" t="s">
        <v>45</v>
      </c>
      <c r="D230" s="2" t="s">
        <v>46</v>
      </c>
      <c r="E230" s="2" t="s">
        <v>47</v>
      </c>
      <c r="F230" s="2" t="s">
        <v>38</v>
      </c>
      <c r="G230" s="2">
        <v>1261</v>
      </c>
      <c r="H230" s="2" t="s">
        <v>600</v>
      </c>
      <c r="I230" s="2" t="s">
        <v>601</v>
      </c>
      <c r="J230" s="1">
        <f>VLOOKUP($H230,[1]Detail!$B:$R,14,0)</f>
        <v>2750136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f>VLOOKUP($H230,[1]Detail!$B:$AI,34,0)</f>
        <v>0</v>
      </c>
    </row>
    <row r="231" spans="1:21" x14ac:dyDescent="0.35">
      <c r="A231" s="2">
        <v>230</v>
      </c>
      <c r="B231" s="2">
        <v>2</v>
      </c>
      <c r="C231" s="2" t="s">
        <v>45</v>
      </c>
      <c r="D231" s="2" t="s">
        <v>46</v>
      </c>
      <c r="E231" s="2" t="s">
        <v>358</v>
      </c>
      <c r="F231" s="2" t="s">
        <v>38</v>
      </c>
      <c r="G231" s="2">
        <v>1264</v>
      </c>
      <c r="H231" s="2" t="s">
        <v>602</v>
      </c>
      <c r="I231" s="2" t="s">
        <v>603</v>
      </c>
      <c r="J231" s="1">
        <f>VLOOKUP($H231,[1]Detail!$B:$R,14,0)</f>
        <v>2750136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f>VLOOKUP($H231,[1]Detail!$B:$AI,34,0)</f>
        <v>0</v>
      </c>
    </row>
    <row r="232" spans="1:21" x14ac:dyDescent="0.35">
      <c r="A232" s="2">
        <v>231</v>
      </c>
      <c r="B232" s="2">
        <v>2</v>
      </c>
      <c r="C232" s="2" t="s">
        <v>45</v>
      </c>
      <c r="D232" s="2" t="s">
        <v>46</v>
      </c>
      <c r="E232" s="2" t="s">
        <v>358</v>
      </c>
      <c r="F232" s="2" t="s">
        <v>38</v>
      </c>
      <c r="G232" s="2">
        <v>1265</v>
      </c>
      <c r="H232" s="2" t="s">
        <v>604</v>
      </c>
      <c r="I232" s="2" t="s">
        <v>605</v>
      </c>
      <c r="J232" s="1">
        <f>VLOOKUP($H232,[1]Detail!$B:$R,14,0)</f>
        <v>2750136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f>VLOOKUP($H232,[1]Detail!$B:$AI,34,0)</f>
        <v>0</v>
      </c>
    </row>
    <row r="233" spans="1:21" x14ac:dyDescent="0.35">
      <c r="A233" s="2">
        <v>232</v>
      </c>
      <c r="B233" s="2">
        <v>2</v>
      </c>
      <c r="C233" s="2" t="s">
        <v>45</v>
      </c>
      <c r="D233" s="2" t="s">
        <v>46</v>
      </c>
      <c r="E233" s="2" t="s">
        <v>358</v>
      </c>
      <c r="F233" s="2" t="s">
        <v>38</v>
      </c>
      <c r="G233" s="2">
        <v>1266</v>
      </c>
      <c r="H233" s="2" t="s">
        <v>606</v>
      </c>
      <c r="I233" s="2" t="s">
        <v>607</v>
      </c>
      <c r="J233" s="1">
        <f>VLOOKUP($H233,[1]Detail!$B:$R,14,0)</f>
        <v>2750136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f>VLOOKUP($H233,[1]Detail!$B:$AI,34,0)</f>
        <v>0</v>
      </c>
    </row>
    <row r="234" spans="1:21" x14ac:dyDescent="0.35">
      <c r="A234" s="2">
        <v>233</v>
      </c>
      <c r="B234" s="2">
        <v>2</v>
      </c>
      <c r="C234" s="2" t="s">
        <v>45</v>
      </c>
      <c r="D234" s="2" t="s">
        <v>46</v>
      </c>
      <c r="E234" s="2" t="s">
        <v>358</v>
      </c>
      <c r="F234" s="2" t="s">
        <v>38</v>
      </c>
      <c r="G234" s="2">
        <v>1267</v>
      </c>
      <c r="H234" s="2" t="s">
        <v>608</v>
      </c>
      <c r="I234" s="2" t="s">
        <v>609</v>
      </c>
      <c r="J234" s="1">
        <f>VLOOKUP($H234,[1]Detail!$B:$R,14,0)</f>
        <v>2750136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f>VLOOKUP($H234,[1]Detail!$B:$AI,34,0)</f>
        <v>0</v>
      </c>
    </row>
    <row r="235" spans="1:21" x14ac:dyDescent="0.35">
      <c r="A235" s="2">
        <v>234</v>
      </c>
      <c r="B235" s="2">
        <v>2</v>
      </c>
      <c r="C235" s="2" t="s">
        <v>45</v>
      </c>
      <c r="D235" s="2" t="s">
        <v>128</v>
      </c>
      <c r="E235" s="2" t="s">
        <v>358</v>
      </c>
      <c r="F235" s="2" t="s">
        <v>38</v>
      </c>
      <c r="G235" s="2">
        <v>1269</v>
      </c>
      <c r="H235" s="2" t="s">
        <v>610</v>
      </c>
      <c r="I235" s="2" t="s">
        <v>611</v>
      </c>
      <c r="J235" s="1">
        <f>VLOOKUP($H235,[1]Detail!$B:$R,14,0)</f>
        <v>2750136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f>VLOOKUP($H235,[1]Detail!$B:$AI,34,0)</f>
        <v>0</v>
      </c>
    </row>
    <row r="236" spans="1:21" x14ac:dyDescent="0.35">
      <c r="A236" s="2">
        <v>235</v>
      </c>
      <c r="B236" s="2">
        <v>2</v>
      </c>
      <c r="C236" s="2" t="s">
        <v>45</v>
      </c>
      <c r="D236" s="2" t="s">
        <v>46</v>
      </c>
      <c r="E236" s="2" t="s">
        <v>47</v>
      </c>
      <c r="F236" s="2" t="s">
        <v>38</v>
      </c>
      <c r="G236" s="2">
        <v>1273</v>
      </c>
      <c r="H236" s="2" t="s">
        <v>612</v>
      </c>
      <c r="I236" s="2" t="s">
        <v>613</v>
      </c>
      <c r="J236" s="1">
        <f>VLOOKUP($H236,[1]Detail!$B:$R,14,0)</f>
        <v>2750136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f>VLOOKUP($H236,[1]Detail!$B:$AI,34,0)</f>
        <v>0</v>
      </c>
    </row>
    <row r="237" spans="1:21" x14ac:dyDescent="0.35">
      <c r="A237" s="2">
        <v>236</v>
      </c>
      <c r="B237" s="2">
        <v>2</v>
      </c>
      <c r="C237" s="2" t="s">
        <v>144</v>
      </c>
      <c r="D237" s="2" t="s">
        <v>145</v>
      </c>
      <c r="E237" s="2" t="s">
        <v>614</v>
      </c>
      <c r="F237" s="2" t="s">
        <v>104</v>
      </c>
      <c r="G237" s="2">
        <v>1551</v>
      </c>
      <c r="H237" s="2" t="s">
        <v>615</v>
      </c>
      <c r="I237" s="2" t="s">
        <v>616</v>
      </c>
      <c r="J237" s="1">
        <f>VLOOKUP($H237,[1]Detail!$B:$R,14,0)</f>
        <v>3045000</v>
      </c>
      <c r="K237" s="1">
        <v>1000000</v>
      </c>
      <c r="L237" s="1">
        <v>0</v>
      </c>
      <c r="M237" s="1">
        <v>19000</v>
      </c>
      <c r="N237" s="1">
        <v>100000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f>VLOOKUP($H237,[1]Detail!$B:$AI,34,0)</f>
        <v>0</v>
      </c>
    </row>
    <row r="238" spans="1:21" x14ac:dyDescent="0.35">
      <c r="A238" s="2">
        <v>237</v>
      </c>
      <c r="B238" s="2">
        <v>2</v>
      </c>
      <c r="C238" s="2" t="s">
        <v>64</v>
      </c>
      <c r="D238" s="2" t="s">
        <v>178</v>
      </c>
      <c r="E238" s="2" t="s">
        <v>179</v>
      </c>
      <c r="F238" s="2" t="s">
        <v>38</v>
      </c>
      <c r="G238" s="2">
        <v>1256</v>
      </c>
      <c r="H238" s="2" t="s">
        <v>617</v>
      </c>
      <c r="I238" s="2" t="s">
        <v>618</v>
      </c>
      <c r="J238" s="1">
        <f>VLOOKUP($H238,[1]Detail!$B:$R,14,0)</f>
        <v>3291209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f>VLOOKUP($H238,[1]Detail!$B:$AI,34,0)</f>
        <v>0</v>
      </c>
    </row>
    <row r="239" spans="1:21" x14ac:dyDescent="0.35">
      <c r="A239" s="2">
        <v>238</v>
      </c>
      <c r="B239" s="2">
        <v>2</v>
      </c>
      <c r="C239" s="2" t="s">
        <v>64</v>
      </c>
      <c r="D239" s="2" t="s">
        <v>178</v>
      </c>
      <c r="E239" s="2" t="s">
        <v>179</v>
      </c>
      <c r="F239" s="2" t="s">
        <v>38</v>
      </c>
      <c r="G239" s="2">
        <v>1259</v>
      </c>
      <c r="H239" s="2" t="s">
        <v>619</v>
      </c>
      <c r="I239" s="2" t="s">
        <v>620</v>
      </c>
      <c r="J239" s="1">
        <f>VLOOKUP($H239,[1]Detail!$B:$R,14,0)</f>
        <v>2750136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f>VLOOKUP($H239,[1]Detail!$B:$AI,34,0)</f>
        <v>0</v>
      </c>
    </row>
    <row r="240" spans="1:21" x14ac:dyDescent="0.35">
      <c r="A240" s="2">
        <v>239</v>
      </c>
      <c r="B240" s="2">
        <v>2</v>
      </c>
      <c r="C240" s="2" t="s">
        <v>64</v>
      </c>
      <c r="D240" s="2" t="s">
        <v>178</v>
      </c>
      <c r="E240" s="2" t="s">
        <v>179</v>
      </c>
      <c r="F240" s="2" t="s">
        <v>38</v>
      </c>
      <c r="G240" s="2">
        <v>1258</v>
      </c>
      <c r="H240" s="2" t="s">
        <v>621</v>
      </c>
      <c r="I240" s="2" t="s">
        <v>622</v>
      </c>
      <c r="J240" s="1">
        <f>VLOOKUP($H240,[1]Detail!$B:$R,14,0)</f>
        <v>2917967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f>VLOOKUP($H240,[1]Detail!$B:$AI,34,0)</f>
        <v>0</v>
      </c>
    </row>
    <row r="241" spans="1:21" x14ac:dyDescent="0.35">
      <c r="A241" s="2">
        <v>240</v>
      </c>
      <c r="B241" s="2">
        <v>2</v>
      </c>
      <c r="C241" s="2" t="s">
        <v>64</v>
      </c>
      <c r="D241" s="2" t="s">
        <v>453</v>
      </c>
      <c r="E241" s="2" t="s">
        <v>179</v>
      </c>
      <c r="F241" s="2" t="s">
        <v>38</v>
      </c>
      <c r="G241" s="2">
        <v>1257</v>
      </c>
      <c r="H241" s="2" t="s">
        <v>623</v>
      </c>
      <c r="I241" s="2" t="s">
        <v>624</v>
      </c>
      <c r="J241" s="1">
        <f>VLOOKUP($H241,[1]Detail!$B:$R,14,0)</f>
        <v>2808388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f>VLOOKUP($H241,[1]Detail!$B:$AI,34,0)</f>
        <v>0</v>
      </c>
    </row>
    <row r="242" spans="1:21" x14ac:dyDescent="0.35">
      <c r="A242" s="2">
        <v>241</v>
      </c>
      <c r="B242" s="2">
        <v>2</v>
      </c>
      <c r="C242" s="2" t="s">
        <v>144</v>
      </c>
      <c r="D242" s="2" t="s">
        <v>229</v>
      </c>
      <c r="E242" s="2" t="s">
        <v>625</v>
      </c>
      <c r="F242" s="2" t="s">
        <v>104</v>
      </c>
      <c r="G242" s="2">
        <v>1600</v>
      </c>
      <c r="H242" s="2" t="s">
        <v>626</v>
      </c>
      <c r="I242" s="2" t="s">
        <v>627</v>
      </c>
      <c r="J242" s="1">
        <f>VLOOKUP($H242,[1]Detail!$B:$R,14,0)</f>
        <v>4048000</v>
      </c>
      <c r="K242" s="1">
        <v>1000000</v>
      </c>
      <c r="L242" s="1">
        <v>0</v>
      </c>
      <c r="M242" s="1">
        <v>19000</v>
      </c>
      <c r="N242" s="1">
        <v>100000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f>VLOOKUP($H242,[1]Detail!$B:$AI,34,0)</f>
        <v>0</v>
      </c>
    </row>
    <row r="243" spans="1:21" x14ac:dyDescent="0.35">
      <c r="A243" s="2">
        <v>242</v>
      </c>
      <c r="B243" s="2">
        <v>2</v>
      </c>
      <c r="C243" s="2" t="s">
        <v>64</v>
      </c>
      <c r="D243" s="2" t="s">
        <v>178</v>
      </c>
      <c r="E243" s="2" t="s">
        <v>179</v>
      </c>
      <c r="F243" s="2" t="s">
        <v>38</v>
      </c>
      <c r="G243" s="2">
        <v>1601</v>
      </c>
      <c r="H243" s="2" t="s">
        <v>628</v>
      </c>
      <c r="I243" s="2" t="s">
        <v>629</v>
      </c>
      <c r="J243" s="1">
        <f>VLOOKUP($H243,[1]Detail!$B:$R,14,0)</f>
        <v>2808388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f>VLOOKUP($H243,[1]Detail!$B:$AI,34,0)</f>
        <v>28084</v>
      </c>
    </row>
    <row r="244" spans="1:21" x14ac:dyDescent="0.35">
      <c r="A244" s="2">
        <v>243</v>
      </c>
      <c r="B244" s="2">
        <v>2</v>
      </c>
      <c r="C244" s="2" t="s">
        <v>45</v>
      </c>
      <c r="D244" s="2" t="s">
        <v>46</v>
      </c>
      <c r="E244" s="2" t="s">
        <v>358</v>
      </c>
      <c r="F244" s="2" t="s">
        <v>38</v>
      </c>
      <c r="G244" s="2">
        <v>1275</v>
      </c>
      <c r="H244" s="2" t="s">
        <v>630</v>
      </c>
      <c r="I244" s="2" t="s">
        <v>631</v>
      </c>
      <c r="J244" s="1">
        <f>VLOOKUP($H244,[1]Detail!$B:$R,14,0)</f>
        <v>2750136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f>VLOOKUP($H244,[1]Detail!$B:$AI,34,0)</f>
        <v>0</v>
      </c>
    </row>
    <row r="245" spans="1:21" x14ac:dyDescent="0.35">
      <c r="A245" s="2">
        <v>244</v>
      </c>
      <c r="B245" s="2">
        <v>2</v>
      </c>
      <c r="C245" s="2" t="s">
        <v>45</v>
      </c>
      <c r="D245" s="2" t="s">
        <v>46</v>
      </c>
      <c r="E245" s="2" t="s">
        <v>47</v>
      </c>
      <c r="F245" s="2" t="s">
        <v>38</v>
      </c>
      <c r="G245" s="2">
        <v>1276</v>
      </c>
      <c r="H245" s="2" t="s">
        <v>632</v>
      </c>
      <c r="I245" s="2" t="s">
        <v>633</v>
      </c>
      <c r="J245" s="1">
        <f>VLOOKUP($H245,[1]Detail!$B:$R,14,0)</f>
        <v>2750136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f>VLOOKUP($H245,[1]Detail!$B:$AI,34,0)</f>
        <v>0</v>
      </c>
    </row>
    <row r="246" spans="1:21" x14ac:dyDescent="0.35">
      <c r="A246" s="2">
        <v>245</v>
      </c>
      <c r="B246" s="2">
        <v>2</v>
      </c>
      <c r="C246" s="2" t="s">
        <v>45</v>
      </c>
      <c r="D246" s="2" t="s">
        <v>46</v>
      </c>
      <c r="E246" s="2" t="s">
        <v>47</v>
      </c>
      <c r="F246" s="2" t="s">
        <v>38</v>
      </c>
      <c r="G246" s="2">
        <v>1279</v>
      </c>
      <c r="H246" s="2" t="s">
        <v>634</v>
      </c>
      <c r="I246" s="2" t="s">
        <v>635</v>
      </c>
      <c r="J246" s="1">
        <f>VLOOKUP($H246,[1]Detail!$B:$R,14,0)</f>
        <v>2750136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f>VLOOKUP($H246,[1]Detail!$B:$AI,34,0)</f>
        <v>0</v>
      </c>
    </row>
    <row r="247" spans="1:21" x14ac:dyDescent="0.35">
      <c r="A247" s="2">
        <v>246</v>
      </c>
      <c r="B247" s="2">
        <v>2</v>
      </c>
      <c r="C247" s="2" t="s">
        <v>45</v>
      </c>
      <c r="D247" s="2" t="s">
        <v>46</v>
      </c>
      <c r="E247" s="2" t="s">
        <v>47</v>
      </c>
      <c r="F247" s="2" t="s">
        <v>38</v>
      </c>
      <c r="G247" s="2">
        <v>1282</v>
      </c>
      <c r="H247" s="2" t="s">
        <v>636</v>
      </c>
      <c r="I247" s="2" t="s">
        <v>637</v>
      </c>
      <c r="J247" s="1">
        <f>VLOOKUP($H247,[1]Detail!$B:$R,14,0)</f>
        <v>2750136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200000</v>
      </c>
      <c r="Q247" s="1">
        <v>0</v>
      </c>
      <c r="R247" s="1">
        <v>0</v>
      </c>
      <c r="S247" s="1">
        <v>0</v>
      </c>
      <c r="T247" s="1">
        <v>0</v>
      </c>
      <c r="U247" s="1">
        <f>VLOOKUP($H247,[1]Detail!$B:$AI,34,0)</f>
        <v>0</v>
      </c>
    </row>
    <row r="248" spans="1:21" x14ac:dyDescent="0.35">
      <c r="A248" s="2">
        <v>247</v>
      </c>
      <c r="B248" s="2">
        <v>2</v>
      </c>
      <c r="C248" s="2" t="s">
        <v>45</v>
      </c>
      <c r="D248" s="2" t="s">
        <v>46</v>
      </c>
      <c r="E248" s="2" t="s">
        <v>47</v>
      </c>
      <c r="F248" s="2" t="s">
        <v>38</v>
      </c>
      <c r="G248" s="2">
        <v>1290</v>
      </c>
      <c r="H248" s="2" t="s">
        <v>638</v>
      </c>
      <c r="I248" s="2" t="s">
        <v>639</v>
      </c>
      <c r="J248" s="1">
        <f>VLOOKUP($H248,[1]Detail!$B:$R,14,0)</f>
        <v>2750136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f>VLOOKUP($H248,[1]Detail!$B:$AI,34,0)</f>
        <v>0</v>
      </c>
    </row>
    <row r="249" spans="1:21" x14ac:dyDescent="0.35">
      <c r="A249" s="2">
        <v>248</v>
      </c>
      <c r="B249" s="2">
        <v>2</v>
      </c>
      <c r="C249" s="2" t="s">
        <v>73</v>
      </c>
      <c r="D249" s="2" t="s">
        <v>84</v>
      </c>
      <c r="E249" s="2" t="s">
        <v>85</v>
      </c>
      <c r="F249" s="2" t="s">
        <v>38</v>
      </c>
      <c r="G249" s="2">
        <v>1308</v>
      </c>
      <c r="H249" s="2" t="s">
        <v>640</v>
      </c>
      <c r="I249" s="2" t="s">
        <v>641</v>
      </c>
      <c r="J249" s="1">
        <f>VLOOKUP($H249,[1]Detail!$B:$R,14,0)</f>
        <v>2750136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f>VLOOKUP($H249,[1]Detail!$B:$AI,34,0)</f>
        <v>0</v>
      </c>
    </row>
    <row r="250" spans="1:21" x14ac:dyDescent="0.35">
      <c r="A250" s="2">
        <v>249</v>
      </c>
      <c r="B250" s="2">
        <v>2</v>
      </c>
      <c r="C250" s="2" t="s">
        <v>64</v>
      </c>
      <c r="D250" s="2" t="s">
        <v>78</v>
      </c>
      <c r="E250" s="2" t="s">
        <v>79</v>
      </c>
      <c r="F250" s="2" t="s">
        <v>38</v>
      </c>
      <c r="G250" s="2">
        <v>1518</v>
      </c>
      <c r="H250" s="2" t="s">
        <v>642</v>
      </c>
      <c r="I250" s="2" t="s">
        <v>643</v>
      </c>
      <c r="J250" s="1">
        <f>VLOOKUP($H250,[1]Detail!$B:$R,14,0)</f>
        <v>2750136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f>VLOOKUP($H250,[1]Detail!$B:$AI,34,0)</f>
        <v>0</v>
      </c>
    </row>
    <row r="251" spans="1:21" x14ac:dyDescent="0.35">
      <c r="A251" s="2">
        <v>250</v>
      </c>
      <c r="B251" s="2">
        <v>2</v>
      </c>
      <c r="C251" s="2" t="s">
        <v>64</v>
      </c>
      <c r="D251" s="2" t="s">
        <v>78</v>
      </c>
      <c r="E251" s="2" t="s">
        <v>79</v>
      </c>
      <c r="F251" s="2" t="s">
        <v>38</v>
      </c>
      <c r="G251" s="2">
        <v>1520</v>
      </c>
      <c r="H251" s="2" t="s">
        <v>644</v>
      </c>
      <c r="I251" s="2" t="s">
        <v>645</v>
      </c>
      <c r="J251" s="1">
        <f>VLOOKUP($H251,[1]Detail!$B:$R,14,0)</f>
        <v>2750136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f>VLOOKUP($H251,[1]Detail!$B:$AI,34,0)</f>
        <v>0</v>
      </c>
    </row>
    <row r="252" spans="1:21" x14ac:dyDescent="0.35">
      <c r="A252" s="2">
        <v>251</v>
      </c>
      <c r="B252" s="2">
        <v>2</v>
      </c>
      <c r="C252" s="2" t="s">
        <v>64</v>
      </c>
      <c r="D252" s="2" t="s">
        <v>78</v>
      </c>
      <c r="E252" s="2" t="s">
        <v>79</v>
      </c>
      <c r="F252" s="2" t="s">
        <v>38</v>
      </c>
      <c r="G252" s="2">
        <v>1514</v>
      </c>
      <c r="H252" s="2" t="s">
        <v>646</v>
      </c>
      <c r="I252" s="2" t="s">
        <v>647</v>
      </c>
      <c r="J252" s="1">
        <f>VLOOKUP($H252,[1]Detail!$B:$R,14,0)</f>
        <v>2750136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f>VLOOKUP($H252,[1]Detail!$B:$AI,34,0)</f>
        <v>0</v>
      </c>
    </row>
    <row r="253" spans="1:21" x14ac:dyDescent="0.35">
      <c r="A253" s="2">
        <v>252</v>
      </c>
      <c r="B253" s="2">
        <v>2</v>
      </c>
      <c r="C253" s="2" t="s">
        <v>45</v>
      </c>
      <c r="D253" s="2" t="s">
        <v>46</v>
      </c>
      <c r="E253" s="2" t="s">
        <v>494</v>
      </c>
      <c r="F253" s="2" t="s">
        <v>38</v>
      </c>
      <c r="G253" s="2">
        <v>1502</v>
      </c>
      <c r="H253" s="2" t="s">
        <v>648</v>
      </c>
      <c r="I253" s="2" t="s">
        <v>649</v>
      </c>
      <c r="J253" s="1">
        <f>VLOOKUP($H253,[1]Detail!$B:$R,14,0)</f>
        <v>2750136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f>VLOOKUP($H253,[1]Detail!$B:$AI,34,0)</f>
        <v>0</v>
      </c>
    </row>
    <row r="254" spans="1:21" x14ac:dyDescent="0.35">
      <c r="A254" s="2">
        <v>253</v>
      </c>
      <c r="B254" s="2">
        <v>2</v>
      </c>
      <c r="C254" s="2" t="s">
        <v>73</v>
      </c>
      <c r="D254" s="2" t="s">
        <v>74</v>
      </c>
      <c r="E254" s="2" t="s">
        <v>563</v>
      </c>
      <c r="F254" s="2" t="s">
        <v>38</v>
      </c>
      <c r="G254" s="2">
        <v>1288</v>
      </c>
      <c r="H254" s="2" t="s">
        <v>650</v>
      </c>
      <c r="I254" s="2" t="s">
        <v>651</v>
      </c>
      <c r="J254" s="1">
        <f>VLOOKUP($H254,[1]Detail!$B:$R,14,0)</f>
        <v>2945757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f>VLOOKUP($H254,[1]Detail!$B:$AI,34,0)</f>
        <v>0</v>
      </c>
    </row>
    <row r="255" spans="1:21" x14ac:dyDescent="0.35">
      <c r="A255" s="2">
        <v>254</v>
      </c>
      <c r="B255" s="2">
        <v>2</v>
      </c>
      <c r="C255" s="2" t="s">
        <v>73</v>
      </c>
      <c r="D255" s="2" t="s">
        <v>74</v>
      </c>
      <c r="E255" s="2" t="s">
        <v>652</v>
      </c>
      <c r="F255" s="2" t="s">
        <v>42</v>
      </c>
      <c r="G255" s="2">
        <v>3722</v>
      </c>
      <c r="H255" s="2" t="s">
        <v>653</v>
      </c>
      <c r="I255" s="2" t="s">
        <v>654</v>
      </c>
      <c r="J255" s="1">
        <f>VLOOKUP($H255,[1]Detail!$B:$R,14,0)</f>
        <v>3307500</v>
      </c>
      <c r="K255" s="1">
        <v>500000</v>
      </c>
      <c r="L255" s="1">
        <v>0</v>
      </c>
      <c r="M255" s="1">
        <v>11900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f>VLOOKUP($H255,[1]Detail!$B:$AI,34,0)</f>
        <v>0</v>
      </c>
    </row>
    <row r="256" spans="1:21" x14ac:dyDescent="0.35">
      <c r="A256" s="2">
        <v>255</v>
      </c>
      <c r="B256" s="2">
        <v>2</v>
      </c>
      <c r="C256" s="2" t="s">
        <v>50</v>
      </c>
      <c r="D256" s="2" t="s">
        <v>102</v>
      </c>
      <c r="E256" s="2" t="s">
        <v>519</v>
      </c>
      <c r="F256" s="2" t="s">
        <v>38</v>
      </c>
      <c r="G256" s="2">
        <v>1602</v>
      </c>
      <c r="H256" s="2" t="s">
        <v>655</v>
      </c>
      <c r="I256" s="2" t="s">
        <v>656</v>
      </c>
      <c r="J256" s="1">
        <f>VLOOKUP($H256,[1]Detail!$B:$R,14,0)</f>
        <v>2750136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f>VLOOKUP($H256,[1]Detail!$B:$AI,34,0)</f>
        <v>0</v>
      </c>
    </row>
    <row r="257" spans="1:21" x14ac:dyDescent="0.35">
      <c r="A257" s="2">
        <v>256</v>
      </c>
      <c r="B257" s="2">
        <v>2</v>
      </c>
      <c r="C257" s="2" t="s">
        <v>50</v>
      </c>
      <c r="D257" s="2" t="s">
        <v>102</v>
      </c>
      <c r="E257" s="2" t="s">
        <v>519</v>
      </c>
      <c r="F257" s="2" t="s">
        <v>38</v>
      </c>
      <c r="G257" s="2">
        <v>1603</v>
      </c>
      <c r="H257" s="2" t="s">
        <v>657</v>
      </c>
      <c r="I257" s="2" t="s">
        <v>658</v>
      </c>
      <c r="J257" s="1">
        <f>VLOOKUP($H257,[1]Detail!$B:$R,14,0)</f>
        <v>2750136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f>VLOOKUP($H257,[1]Detail!$B:$AI,34,0)</f>
        <v>0</v>
      </c>
    </row>
    <row r="258" spans="1:21" x14ac:dyDescent="0.35">
      <c r="A258" s="2">
        <v>257</v>
      </c>
      <c r="B258" s="2">
        <v>2</v>
      </c>
      <c r="C258" s="2" t="s">
        <v>136</v>
      </c>
      <c r="D258" s="2" t="s">
        <v>137</v>
      </c>
      <c r="E258" s="2" t="s">
        <v>659</v>
      </c>
      <c r="F258" s="2" t="s">
        <v>42</v>
      </c>
      <c r="G258" s="2">
        <v>1604</v>
      </c>
      <c r="H258" s="2" t="s">
        <v>660</v>
      </c>
      <c r="I258" s="2" t="s">
        <v>661</v>
      </c>
      <c r="J258" s="1">
        <f>VLOOKUP($H258,[1]Detail!$B:$R,14,0)</f>
        <v>3313962</v>
      </c>
      <c r="K258" s="1">
        <v>500000</v>
      </c>
      <c r="L258" s="1">
        <v>0</v>
      </c>
      <c r="M258" s="1">
        <v>11900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f>VLOOKUP($H258,[1]Detail!$B:$AI,34,0)</f>
        <v>0</v>
      </c>
    </row>
    <row r="259" spans="1:21" x14ac:dyDescent="0.35">
      <c r="A259" s="2">
        <v>258</v>
      </c>
      <c r="B259" s="2">
        <v>2</v>
      </c>
      <c r="C259" s="2" t="s">
        <v>182</v>
      </c>
      <c r="D259" s="2" t="s">
        <v>183</v>
      </c>
      <c r="E259" s="2" t="s">
        <v>662</v>
      </c>
      <c r="F259" s="2" t="s">
        <v>42</v>
      </c>
      <c r="G259" s="2">
        <v>1682</v>
      </c>
      <c r="H259" s="2" t="s">
        <v>663</v>
      </c>
      <c r="I259" s="2" t="s">
        <v>664</v>
      </c>
      <c r="J259" s="1">
        <f>VLOOKUP($H259,[1]Detail!$B:$R,14,0)</f>
        <v>3080000</v>
      </c>
      <c r="K259" s="1">
        <v>500000</v>
      </c>
      <c r="L259" s="1">
        <v>0</v>
      </c>
      <c r="M259" s="1">
        <v>0</v>
      </c>
      <c r="N259" s="1">
        <v>0</v>
      </c>
      <c r="O259" s="1">
        <v>0</v>
      </c>
      <c r="P259" s="1">
        <v>135000</v>
      </c>
      <c r="Q259" s="1">
        <v>0</v>
      </c>
      <c r="R259" s="1">
        <v>0</v>
      </c>
      <c r="S259" s="1">
        <v>0</v>
      </c>
      <c r="T259" s="1">
        <v>0</v>
      </c>
      <c r="U259" s="1">
        <f>VLOOKUP($H259,[1]Detail!$B:$AI,34,0)</f>
        <v>0</v>
      </c>
    </row>
    <row r="260" spans="1:21" x14ac:dyDescent="0.35">
      <c r="A260" s="2">
        <v>259</v>
      </c>
      <c r="B260" s="2">
        <v>2</v>
      </c>
      <c r="C260" s="2" t="s">
        <v>45</v>
      </c>
      <c r="D260" s="2" t="s">
        <v>46</v>
      </c>
      <c r="E260" s="2" t="s">
        <v>665</v>
      </c>
      <c r="F260" s="2" t="s">
        <v>38</v>
      </c>
      <c r="G260" s="2">
        <v>1683</v>
      </c>
      <c r="H260" s="2" t="s">
        <v>666</v>
      </c>
      <c r="I260" s="2" t="s">
        <v>667</v>
      </c>
      <c r="J260" s="1">
        <f>VLOOKUP($H260,[1]Detail!$B:$R,14,0)</f>
        <v>2750136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f>VLOOKUP($H260,[1]Detail!$B:$AI,34,0)</f>
        <v>0</v>
      </c>
    </row>
    <row r="261" spans="1:21" x14ac:dyDescent="0.35">
      <c r="A261" s="2">
        <v>260</v>
      </c>
      <c r="B261" s="2">
        <v>2</v>
      </c>
      <c r="C261" s="2" t="s">
        <v>64</v>
      </c>
      <c r="D261" s="2" t="s">
        <v>78</v>
      </c>
      <c r="E261" s="2" t="s">
        <v>79</v>
      </c>
      <c r="F261" s="2" t="s">
        <v>38</v>
      </c>
      <c r="G261" s="2">
        <v>1685</v>
      </c>
      <c r="H261" s="2" t="s">
        <v>668</v>
      </c>
      <c r="I261" s="2" t="s">
        <v>669</v>
      </c>
      <c r="J261" s="1">
        <f>VLOOKUP($H261,[1]Detail!$B:$R,14,0)</f>
        <v>2750136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f>VLOOKUP($H261,[1]Detail!$B:$AI,34,0)</f>
        <v>0</v>
      </c>
    </row>
    <row r="262" spans="1:21" x14ac:dyDescent="0.35">
      <c r="A262" s="2">
        <v>261</v>
      </c>
      <c r="B262" s="2">
        <v>2</v>
      </c>
      <c r="C262" s="2" t="s">
        <v>45</v>
      </c>
      <c r="D262" s="2" t="s">
        <v>46</v>
      </c>
      <c r="E262" s="2" t="s">
        <v>149</v>
      </c>
      <c r="F262" s="2" t="s">
        <v>38</v>
      </c>
      <c r="G262" s="2">
        <v>1689</v>
      </c>
      <c r="H262" s="2" t="s">
        <v>670</v>
      </c>
      <c r="I262" s="2" t="s">
        <v>671</v>
      </c>
      <c r="J262" s="1">
        <f>VLOOKUP($H262,[1]Detail!$B:$R,14,0)</f>
        <v>2750136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f>VLOOKUP($H262,[1]Detail!$B:$AI,34,0)</f>
        <v>0</v>
      </c>
    </row>
    <row r="263" spans="1:21" x14ac:dyDescent="0.35">
      <c r="A263" s="2">
        <v>262</v>
      </c>
      <c r="B263" s="2">
        <v>2</v>
      </c>
      <c r="C263" s="2" t="s">
        <v>64</v>
      </c>
      <c r="D263" s="2" t="s">
        <v>78</v>
      </c>
      <c r="E263" s="2" t="s">
        <v>79</v>
      </c>
      <c r="F263" s="2" t="s">
        <v>38</v>
      </c>
      <c r="G263" s="2">
        <v>1748</v>
      </c>
      <c r="H263" s="2" t="s">
        <v>672</v>
      </c>
      <c r="I263" s="2" t="s">
        <v>673</v>
      </c>
      <c r="J263" s="1">
        <f>VLOOKUP($H263,[1]Detail!$B:$R,14,0)</f>
        <v>2750136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f>VLOOKUP($H263,[1]Detail!$B:$AI,34,0)</f>
        <v>0</v>
      </c>
    </row>
    <row r="264" spans="1:21" x14ac:dyDescent="0.35">
      <c r="A264" s="2">
        <v>263</v>
      </c>
      <c r="B264" s="2">
        <v>2</v>
      </c>
      <c r="C264" s="2" t="s">
        <v>32</v>
      </c>
      <c r="D264" s="2" t="s">
        <v>267</v>
      </c>
      <c r="E264" s="2" t="s">
        <v>305</v>
      </c>
      <c r="F264" s="2" t="s">
        <v>42</v>
      </c>
      <c r="G264" s="2">
        <v>5169</v>
      </c>
      <c r="H264" s="2" t="s">
        <v>674</v>
      </c>
      <c r="I264" s="2" t="s">
        <v>675</v>
      </c>
      <c r="J264" s="1">
        <f>VLOOKUP($H264,[1]Detail!$B:$R,14,0)</f>
        <v>2991600</v>
      </c>
      <c r="K264" s="1">
        <v>500000</v>
      </c>
      <c r="L264" s="1">
        <v>0</v>
      </c>
      <c r="M264" s="1">
        <v>11900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f>VLOOKUP($H264,[1]Detail!$B:$AI,34,0)</f>
        <v>0</v>
      </c>
    </row>
    <row r="265" spans="1:21" x14ac:dyDescent="0.35">
      <c r="A265" s="2">
        <v>264</v>
      </c>
      <c r="B265" s="2">
        <v>2</v>
      </c>
      <c r="C265" s="2" t="s">
        <v>45</v>
      </c>
      <c r="D265" s="2" t="s">
        <v>69</v>
      </c>
      <c r="E265" s="2" t="s">
        <v>676</v>
      </c>
      <c r="F265" s="2" t="s">
        <v>104</v>
      </c>
      <c r="G265" s="2">
        <v>5762</v>
      </c>
      <c r="H265" s="2" t="s">
        <v>677</v>
      </c>
      <c r="I265" s="2" t="s">
        <v>678</v>
      </c>
      <c r="J265" s="1">
        <f>VLOOKUP($H265,[1]Detail!$B:$R,14,0)</f>
        <v>4400000</v>
      </c>
      <c r="K265" s="1">
        <v>1000000</v>
      </c>
      <c r="L265" s="1">
        <v>0</v>
      </c>
      <c r="M265" s="1">
        <v>19000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f>VLOOKUP($H265,[1]Detail!$B:$AI,34,0)</f>
        <v>0</v>
      </c>
    </row>
    <row r="266" spans="1:21" x14ac:dyDescent="0.35">
      <c r="A266" s="2">
        <v>265</v>
      </c>
      <c r="B266" s="2">
        <v>2</v>
      </c>
      <c r="C266" s="2" t="s">
        <v>50</v>
      </c>
      <c r="D266" s="2" t="s">
        <v>102</v>
      </c>
      <c r="E266" s="2" t="s">
        <v>679</v>
      </c>
      <c r="F266" s="2" t="s">
        <v>38</v>
      </c>
      <c r="G266" s="2">
        <v>1065</v>
      </c>
      <c r="H266" s="2" t="s">
        <v>680</v>
      </c>
      <c r="I266" s="2" t="s">
        <v>681</v>
      </c>
      <c r="J266" s="1">
        <f>VLOOKUP($H266,[1]Detail!$B:$R,14,0)</f>
        <v>3027254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f>VLOOKUP($H266,[1]Detail!$B:$AI,34,0)</f>
        <v>0</v>
      </c>
    </row>
    <row r="267" spans="1:21" x14ac:dyDescent="0.35">
      <c r="A267" s="2">
        <v>266</v>
      </c>
      <c r="B267" s="2">
        <v>2</v>
      </c>
      <c r="C267" s="2" t="s">
        <v>182</v>
      </c>
      <c r="D267" s="2" t="s">
        <v>423</v>
      </c>
      <c r="E267" s="2" t="s">
        <v>682</v>
      </c>
      <c r="F267" s="2" t="s">
        <v>38</v>
      </c>
      <c r="G267" s="2">
        <v>9264</v>
      </c>
      <c r="H267" s="2" t="s">
        <v>683</v>
      </c>
      <c r="I267" s="2" t="s">
        <v>684</v>
      </c>
      <c r="J267" s="1">
        <f>VLOOKUP($H267,[1]Detail!$B:$R,14,0)</f>
        <v>2917967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f>VLOOKUP($H267,[1]Detail!$B:$AI,34,0)</f>
        <v>0</v>
      </c>
    </row>
    <row r="268" spans="1:21" x14ac:dyDescent="0.35">
      <c r="A268" s="2">
        <v>267</v>
      </c>
      <c r="B268" s="2">
        <v>2</v>
      </c>
      <c r="C268" s="2" t="s">
        <v>64</v>
      </c>
      <c r="D268" s="2" t="s">
        <v>178</v>
      </c>
      <c r="E268" s="2" t="s">
        <v>685</v>
      </c>
      <c r="F268" s="2" t="s">
        <v>42</v>
      </c>
      <c r="G268" s="2">
        <v>6819</v>
      </c>
      <c r="H268" s="2" t="s">
        <v>686</v>
      </c>
      <c r="I268" s="2" t="s">
        <v>687</v>
      </c>
      <c r="J268" s="1">
        <f>VLOOKUP($H268,[1]Detail!$B:$R,14,0)</f>
        <v>3759500</v>
      </c>
      <c r="K268" s="1">
        <v>500000</v>
      </c>
      <c r="L268" s="1">
        <v>300000</v>
      </c>
      <c r="M268" s="1">
        <v>11900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f>VLOOKUP($H268,[1]Detail!$B:$AI,34,0)</f>
        <v>0</v>
      </c>
    </row>
    <row r="269" spans="1:21" x14ac:dyDescent="0.35">
      <c r="A269" s="2">
        <v>268</v>
      </c>
      <c r="B269" s="2">
        <v>2</v>
      </c>
      <c r="C269" s="2" t="s">
        <v>73</v>
      </c>
      <c r="D269" s="2" t="s">
        <v>74</v>
      </c>
      <c r="E269" s="2" t="s">
        <v>75</v>
      </c>
      <c r="F269" s="2" t="s">
        <v>38</v>
      </c>
      <c r="G269" s="2">
        <v>1103</v>
      </c>
      <c r="H269" s="2" t="s">
        <v>688</v>
      </c>
      <c r="I269" s="2" t="s">
        <v>689</v>
      </c>
      <c r="J269" s="1">
        <f>VLOOKUP($H269,[1]Detail!$B:$R,14,0)</f>
        <v>2750136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f>VLOOKUP($H269,[1]Detail!$B:$AI,34,0)</f>
        <v>0</v>
      </c>
    </row>
    <row r="270" spans="1:21" x14ac:dyDescent="0.35">
      <c r="A270" s="2">
        <v>269</v>
      </c>
      <c r="B270" s="2">
        <v>2</v>
      </c>
      <c r="C270" s="2" t="s">
        <v>73</v>
      </c>
      <c r="D270" s="2" t="s">
        <v>74</v>
      </c>
      <c r="E270" s="2" t="s">
        <v>75</v>
      </c>
      <c r="F270" s="2" t="s">
        <v>38</v>
      </c>
      <c r="G270" s="2">
        <v>1159</v>
      </c>
      <c r="H270" s="2" t="s">
        <v>690</v>
      </c>
      <c r="I270" s="2" t="s">
        <v>691</v>
      </c>
      <c r="J270" s="1">
        <f>VLOOKUP($H270,[1]Detail!$B:$R,14,0)</f>
        <v>2750136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f>VLOOKUP($H270,[1]Detail!$B:$AI,34,0)</f>
        <v>0</v>
      </c>
    </row>
    <row r="271" spans="1:21" x14ac:dyDescent="0.35">
      <c r="A271" s="2">
        <v>270</v>
      </c>
      <c r="B271" s="2">
        <v>2</v>
      </c>
      <c r="C271" s="2" t="s">
        <v>64</v>
      </c>
      <c r="D271" s="2" t="s">
        <v>178</v>
      </c>
      <c r="E271" s="2" t="s">
        <v>296</v>
      </c>
      <c r="F271" s="2" t="s">
        <v>38</v>
      </c>
      <c r="G271" s="2">
        <v>1606</v>
      </c>
      <c r="H271" s="2" t="s">
        <v>692</v>
      </c>
      <c r="I271" s="2" t="s">
        <v>693</v>
      </c>
      <c r="J271" s="1">
        <f>VLOOKUP($H271,[1]Detail!$B:$R,14,0)</f>
        <v>2750136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f>VLOOKUP($H271,[1]Detail!$B:$AI,34,0)</f>
        <v>0</v>
      </c>
    </row>
    <row r="272" spans="1:21" x14ac:dyDescent="0.35">
      <c r="A272" s="2">
        <v>271</v>
      </c>
      <c r="B272" s="2">
        <v>2</v>
      </c>
      <c r="C272" s="2" t="s">
        <v>64</v>
      </c>
      <c r="D272" s="2" t="s">
        <v>178</v>
      </c>
      <c r="E272" s="2" t="s">
        <v>296</v>
      </c>
      <c r="F272" s="2" t="s">
        <v>38</v>
      </c>
      <c r="G272" s="2">
        <v>1608</v>
      </c>
      <c r="H272" s="2" t="s">
        <v>694</v>
      </c>
      <c r="I272" s="2" t="s">
        <v>695</v>
      </c>
      <c r="J272" s="1">
        <f>VLOOKUP($H272,[1]Detail!$B:$R,14,0)</f>
        <v>2750136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f>VLOOKUP($H272,[1]Detail!$B:$AI,34,0)</f>
        <v>0</v>
      </c>
    </row>
    <row r="273" spans="1:21" x14ac:dyDescent="0.35">
      <c r="A273" s="2">
        <v>272</v>
      </c>
      <c r="B273" s="2">
        <v>2</v>
      </c>
      <c r="C273" s="2" t="s">
        <v>45</v>
      </c>
      <c r="D273" s="2" t="s">
        <v>46</v>
      </c>
      <c r="E273" s="2" t="s">
        <v>47</v>
      </c>
      <c r="F273" s="2" t="s">
        <v>38</v>
      </c>
      <c r="G273" s="2">
        <v>1309</v>
      </c>
      <c r="H273" s="2" t="s">
        <v>696</v>
      </c>
      <c r="I273" s="2" t="s">
        <v>697</v>
      </c>
      <c r="J273" s="1">
        <f>VLOOKUP($H273,[1]Detail!$B:$R,14,0)</f>
        <v>2750136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f>VLOOKUP($H273,[1]Detail!$B:$AI,34,0)</f>
        <v>0</v>
      </c>
    </row>
    <row r="274" spans="1:21" x14ac:dyDescent="0.35">
      <c r="A274" s="2">
        <v>273</v>
      </c>
      <c r="B274" s="2">
        <v>2</v>
      </c>
      <c r="C274" s="2" t="s">
        <v>73</v>
      </c>
      <c r="D274" s="2" t="s">
        <v>84</v>
      </c>
      <c r="E274" s="2" t="s">
        <v>85</v>
      </c>
      <c r="F274" s="2" t="s">
        <v>38</v>
      </c>
      <c r="G274" s="2">
        <v>1453</v>
      </c>
      <c r="H274" s="2" t="s">
        <v>698</v>
      </c>
      <c r="I274" s="2" t="s">
        <v>699</v>
      </c>
      <c r="J274" s="1">
        <f>VLOOKUP($H274,[1]Detail!$B:$R,14,0)</f>
        <v>2750136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f>VLOOKUP($H274,[1]Detail!$B:$AI,34,0)</f>
        <v>0</v>
      </c>
    </row>
    <row r="275" spans="1:21" x14ac:dyDescent="0.35">
      <c r="A275" s="2">
        <v>274</v>
      </c>
      <c r="B275" s="2">
        <v>2</v>
      </c>
      <c r="C275" s="2" t="s">
        <v>73</v>
      </c>
      <c r="D275" s="2" t="s">
        <v>84</v>
      </c>
      <c r="E275" s="2" t="s">
        <v>85</v>
      </c>
      <c r="F275" s="2" t="s">
        <v>38</v>
      </c>
      <c r="G275" s="2">
        <v>1516</v>
      </c>
      <c r="H275" s="2" t="s">
        <v>700</v>
      </c>
      <c r="I275" s="2" t="s">
        <v>701</v>
      </c>
      <c r="J275" s="1">
        <f>VLOOKUP($H275,[1]Detail!$B:$R,14,0)</f>
        <v>2750136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f>VLOOKUP($H275,[1]Detail!$B:$AI,34,0)</f>
        <v>0</v>
      </c>
    </row>
    <row r="276" spans="1:21" x14ac:dyDescent="0.35">
      <c r="A276" s="2">
        <v>275</v>
      </c>
      <c r="B276" s="2">
        <v>2</v>
      </c>
      <c r="C276" s="2" t="s">
        <v>64</v>
      </c>
      <c r="D276" s="2" t="s">
        <v>202</v>
      </c>
      <c r="E276" s="2" t="s">
        <v>203</v>
      </c>
      <c r="F276" s="2" t="s">
        <v>38</v>
      </c>
      <c r="G276" s="2">
        <v>1690</v>
      </c>
      <c r="H276" s="2" t="s">
        <v>702</v>
      </c>
      <c r="I276" s="2" t="s">
        <v>703</v>
      </c>
      <c r="J276" s="1">
        <f>VLOOKUP($H276,[1]Detail!$B:$R,14,0)</f>
        <v>2750136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f>VLOOKUP($H276,[1]Detail!$B:$AI,34,0)</f>
        <v>0</v>
      </c>
    </row>
    <row r="277" spans="1:21" x14ac:dyDescent="0.35">
      <c r="A277" s="2">
        <v>276</v>
      </c>
      <c r="B277" s="2">
        <v>2</v>
      </c>
      <c r="C277" s="2" t="s">
        <v>64</v>
      </c>
      <c r="D277" s="2" t="s">
        <v>202</v>
      </c>
      <c r="E277" s="2" t="s">
        <v>203</v>
      </c>
      <c r="F277" s="2" t="s">
        <v>38</v>
      </c>
      <c r="G277" s="2">
        <v>1691</v>
      </c>
      <c r="H277" s="2" t="s">
        <v>704</v>
      </c>
      <c r="I277" s="2" t="s">
        <v>705</v>
      </c>
      <c r="J277" s="1">
        <f>VLOOKUP($H277,[1]Detail!$B:$R,14,0)</f>
        <v>2750136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f>VLOOKUP($H277,[1]Detail!$B:$AI,34,0)</f>
        <v>0</v>
      </c>
    </row>
    <row r="278" spans="1:21" x14ac:dyDescent="0.35">
      <c r="A278" s="2">
        <v>277</v>
      </c>
      <c r="B278" s="2">
        <v>2</v>
      </c>
      <c r="C278" s="2" t="s">
        <v>64</v>
      </c>
      <c r="D278" s="2" t="s">
        <v>202</v>
      </c>
      <c r="E278" s="2" t="s">
        <v>203</v>
      </c>
      <c r="F278" s="2" t="s">
        <v>38</v>
      </c>
      <c r="G278" s="2">
        <v>1692</v>
      </c>
      <c r="H278" s="2" t="s">
        <v>706</v>
      </c>
      <c r="I278" s="2" t="s">
        <v>707</v>
      </c>
      <c r="J278" s="1">
        <f>VLOOKUP($H278,[1]Detail!$B:$R,14,0)</f>
        <v>2750136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f>VLOOKUP($H278,[1]Detail!$B:$AI,34,0)</f>
        <v>0</v>
      </c>
    </row>
    <row r="279" spans="1:21" x14ac:dyDescent="0.35">
      <c r="A279" s="2">
        <v>278</v>
      </c>
      <c r="B279" s="2">
        <v>2</v>
      </c>
      <c r="C279" s="2" t="s">
        <v>73</v>
      </c>
      <c r="D279" s="2" t="s">
        <v>74</v>
      </c>
      <c r="E279" s="2" t="s">
        <v>708</v>
      </c>
      <c r="F279" s="2" t="s">
        <v>104</v>
      </c>
      <c r="G279" s="2">
        <v>1019</v>
      </c>
      <c r="H279" s="2" t="s">
        <v>709</v>
      </c>
      <c r="I279" s="2" t="s">
        <v>710</v>
      </c>
      <c r="J279" s="1">
        <f>VLOOKUP($H279,[1]Detail!$B:$R,14,0)</f>
        <v>3402000</v>
      </c>
      <c r="K279" s="1">
        <v>1000000</v>
      </c>
      <c r="L279" s="1">
        <v>0</v>
      </c>
      <c r="M279" s="1">
        <v>19000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f>VLOOKUP($H279,[1]Detail!$B:$AI,34,0)</f>
        <v>0</v>
      </c>
    </row>
    <row r="280" spans="1:21" x14ac:dyDescent="0.35">
      <c r="A280" s="2">
        <v>279</v>
      </c>
      <c r="B280" s="2">
        <v>2</v>
      </c>
      <c r="C280" s="2" t="s">
        <v>73</v>
      </c>
      <c r="D280" s="2" t="s">
        <v>74</v>
      </c>
      <c r="E280" s="2" t="s">
        <v>711</v>
      </c>
      <c r="F280" s="2" t="s">
        <v>38</v>
      </c>
      <c r="G280" s="2">
        <v>1020</v>
      </c>
      <c r="H280" s="2" t="s">
        <v>712</v>
      </c>
      <c r="I280" s="2" t="s">
        <v>713</v>
      </c>
      <c r="J280" s="1">
        <f>VLOOKUP($H280,[1]Detail!$B:$R,14,0)</f>
        <v>2987182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200000</v>
      </c>
      <c r="Q280" s="1">
        <v>0</v>
      </c>
      <c r="R280" s="1">
        <v>0</v>
      </c>
      <c r="S280" s="1">
        <v>0</v>
      </c>
      <c r="T280" s="1">
        <v>0</v>
      </c>
      <c r="U280" s="1">
        <f>VLOOKUP($H280,[1]Detail!$B:$AI,34,0)</f>
        <v>0</v>
      </c>
    </row>
    <row r="281" spans="1:21" x14ac:dyDescent="0.35">
      <c r="A281" s="2">
        <v>280</v>
      </c>
      <c r="B281" s="2">
        <v>2</v>
      </c>
      <c r="C281" s="2" t="s">
        <v>73</v>
      </c>
      <c r="D281" s="2" t="s">
        <v>74</v>
      </c>
      <c r="E281" s="2" t="s">
        <v>711</v>
      </c>
      <c r="F281" s="2" t="s">
        <v>38</v>
      </c>
      <c r="G281" s="2">
        <v>1021</v>
      </c>
      <c r="H281" s="2" t="s">
        <v>714</v>
      </c>
      <c r="I281" s="2" t="s">
        <v>715</v>
      </c>
      <c r="J281" s="1">
        <f>VLOOKUP($H281,[1]Detail!$B:$R,14,0)</f>
        <v>2987182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200000</v>
      </c>
      <c r="Q281" s="1">
        <v>0</v>
      </c>
      <c r="R281" s="1">
        <v>0</v>
      </c>
      <c r="S281" s="1">
        <v>0</v>
      </c>
      <c r="T281" s="1">
        <v>0</v>
      </c>
      <c r="U281" s="1">
        <f>VLOOKUP($H281,[1]Detail!$B:$AI,34,0)</f>
        <v>0</v>
      </c>
    </row>
    <row r="282" spans="1:21" x14ac:dyDescent="0.35">
      <c r="A282" s="2">
        <v>281</v>
      </c>
      <c r="B282" s="2">
        <v>2</v>
      </c>
      <c r="C282" s="2" t="s">
        <v>45</v>
      </c>
      <c r="D282" s="2" t="s">
        <v>46</v>
      </c>
      <c r="E282" s="2" t="s">
        <v>716</v>
      </c>
      <c r="F282" s="2" t="s">
        <v>42</v>
      </c>
      <c r="G282" s="2">
        <v>1023</v>
      </c>
      <c r="H282" s="2" t="s">
        <v>717</v>
      </c>
      <c r="I282" s="2" t="s">
        <v>718</v>
      </c>
      <c r="J282" s="1">
        <f>VLOOKUP($H282,[1]Detail!$B:$R,14,0)</f>
        <v>3099600</v>
      </c>
      <c r="K282" s="1">
        <v>500000</v>
      </c>
      <c r="L282" s="1">
        <v>0</v>
      </c>
      <c r="M282" s="1">
        <v>11900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f>VLOOKUP($H282,[1]Detail!$B:$AI,34,0)</f>
        <v>0</v>
      </c>
    </row>
    <row r="283" spans="1:21" x14ac:dyDescent="0.35">
      <c r="A283" s="2">
        <v>282</v>
      </c>
      <c r="B283" s="2">
        <v>2</v>
      </c>
      <c r="C283" s="2" t="s">
        <v>45</v>
      </c>
      <c r="D283" s="2" t="s">
        <v>128</v>
      </c>
      <c r="E283" s="2" t="s">
        <v>719</v>
      </c>
      <c r="F283" s="2" t="s">
        <v>38</v>
      </c>
      <c r="G283" s="2">
        <v>1024</v>
      </c>
      <c r="H283" s="2" t="s">
        <v>720</v>
      </c>
      <c r="I283" s="2" t="s">
        <v>721</v>
      </c>
      <c r="J283" s="1">
        <f>VLOOKUP($H283,[1]Detail!$B:$R,14,0)</f>
        <v>2935141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200000</v>
      </c>
      <c r="Q283" s="1">
        <v>0</v>
      </c>
      <c r="R283" s="1">
        <v>0</v>
      </c>
      <c r="S283" s="1">
        <v>0</v>
      </c>
      <c r="T283" s="1">
        <v>0</v>
      </c>
      <c r="U283" s="1">
        <f>VLOOKUP($H283,[1]Detail!$B:$AI,34,0)</f>
        <v>0</v>
      </c>
    </row>
    <row r="284" spans="1:21" x14ac:dyDescent="0.35">
      <c r="A284" s="2">
        <v>283</v>
      </c>
      <c r="B284" s="2">
        <v>2</v>
      </c>
      <c r="C284" s="2" t="s">
        <v>45</v>
      </c>
      <c r="D284" s="2" t="s">
        <v>46</v>
      </c>
      <c r="E284" s="2" t="s">
        <v>58</v>
      </c>
      <c r="F284" s="2" t="s">
        <v>42</v>
      </c>
      <c r="G284" s="2">
        <v>1025</v>
      </c>
      <c r="H284" s="2" t="s">
        <v>722</v>
      </c>
      <c r="I284" s="2" t="s">
        <v>723</v>
      </c>
      <c r="J284" s="1">
        <f>VLOOKUP($H284,[1]Detail!$B:$R,14,0)</f>
        <v>3099600</v>
      </c>
      <c r="K284" s="1">
        <v>500000</v>
      </c>
      <c r="L284" s="1">
        <v>0</v>
      </c>
      <c r="M284" s="1">
        <v>11900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f>VLOOKUP($H284,[1]Detail!$B:$AI,34,0)</f>
        <v>0</v>
      </c>
    </row>
    <row r="285" spans="1:21" x14ac:dyDescent="0.35">
      <c r="A285" s="2">
        <v>284</v>
      </c>
      <c r="B285" s="2">
        <v>2</v>
      </c>
      <c r="C285" s="2" t="s">
        <v>45</v>
      </c>
      <c r="D285" s="2" t="s">
        <v>128</v>
      </c>
      <c r="E285" s="2" t="s">
        <v>724</v>
      </c>
      <c r="F285" s="2" t="s">
        <v>42</v>
      </c>
      <c r="G285" s="2">
        <v>1026</v>
      </c>
      <c r="H285" s="2" t="s">
        <v>725</v>
      </c>
      <c r="I285" s="2" t="s">
        <v>726</v>
      </c>
      <c r="J285" s="1">
        <f>VLOOKUP($H285,[1]Detail!$B:$R,14,0)</f>
        <v>3862500</v>
      </c>
      <c r="K285" s="1">
        <v>500000</v>
      </c>
      <c r="L285" s="1">
        <v>0</v>
      </c>
      <c r="M285" s="1">
        <v>11900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f>VLOOKUP($H285,[1]Detail!$B:$AI,34,0)</f>
        <v>0</v>
      </c>
    </row>
    <row r="286" spans="1:21" x14ac:dyDescent="0.35">
      <c r="A286" s="2">
        <v>285</v>
      </c>
      <c r="B286" s="2">
        <v>2</v>
      </c>
      <c r="C286" s="2" t="s">
        <v>73</v>
      </c>
      <c r="D286" s="2" t="s">
        <v>74</v>
      </c>
      <c r="E286" s="2" t="s">
        <v>727</v>
      </c>
      <c r="F286" s="2" t="s">
        <v>42</v>
      </c>
      <c r="G286" s="2">
        <v>4344</v>
      </c>
      <c r="H286" s="2" t="s">
        <v>728</v>
      </c>
      <c r="I286" s="2" t="s">
        <v>729</v>
      </c>
      <c r="J286" s="1">
        <f>VLOOKUP($H286,[1]Detail!$B:$R,14,0)</f>
        <v>3694947</v>
      </c>
      <c r="K286" s="1">
        <v>500000</v>
      </c>
      <c r="L286" s="1">
        <v>200000</v>
      </c>
      <c r="M286" s="1">
        <v>11900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f>VLOOKUP($H286,[1]Detail!$B:$AI,34,0)</f>
        <v>0</v>
      </c>
    </row>
    <row r="287" spans="1:21" x14ac:dyDescent="0.35">
      <c r="A287" s="2">
        <v>286</v>
      </c>
      <c r="B287" s="2">
        <v>2</v>
      </c>
      <c r="C287" s="2" t="s">
        <v>32</v>
      </c>
      <c r="D287" s="2" t="s">
        <v>36</v>
      </c>
      <c r="E287" s="2" t="s">
        <v>730</v>
      </c>
      <c r="F287" s="2" t="s">
        <v>104</v>
      </c>
      <c r="G287" s="2">
        <v>5409</v>
      </c>
      <c r="H287" s="2" t="s">
        <v>731</v>
      </c>
      <c r="I287" s="2" t="s">
        <v>732</v>
      </c>
      <c r="J287" s="1">
        <f>VLOOKUP($H287,[1]Detail!$B:$R,14,0)</f>
        <v>4944044</v>
      </c>
      <c r="K287" s="1">
        <v>1000000</v>
      </c>
      <c r="L287" s="1">
        <v>500000</v>
      </c>
      <c r="M287" s="1">
        <v>19000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f>VLOOKUP($H287,[1]Detail!$B:$AI,34,0)</f>
        <v>0</v>
      </c>
    </row>
    <row r="288" spans="1:21" x14ac:dyDescent="0.35">
      <c r="A288" s="2">
        <v>287</v>
      </c>
      <c r="B288" s="2">
        <v>2</v>
      </c>
      <c r="C288" s="2" t="s">
        <v>182</v>
      </c>
      <c r="D288" s="2" t="s">
        <v>183</v>
      </c>
      <c r="E288" s="2" t="s">
        <v>733</v>
      </c>
      <c r="F288" s="2" t="s">
        <v>104</v>
      </c>
      <c r="G288" s="2">
        <v>6741</v>
      </c>
      <c r="H288" s="2" t="s">
        <v>734</v>
      </c>
      <c r="I288" s="2" t="s">
        <v>735</v>
      </c>
      <c r="J288" s="1">
        <f>VLOOKUP($H288,[1]Detail!$B:$R,14,0)</f>
        <v>6237738</v>
      </c>
      <c r="K288" s="1">
        <v>1000000</v>
      </c>
      <c r="L288" s="1">
        <v>700000</v>
      </c>
      <c r="M288" s="1">
        <v>19000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f>VLOOKUP($H288,[1]Detail!$B:$AI,34,0)</f>
        <v>0</v>
      </c>
    </row>
    <row r="289" spans="1:21" x14ac:dyDescent="0.35">
      <c r="A289" s="2">
        <v>288</v>
      </c>
      <c r="B289" s="2">
        <v>2</v>
      </c>
      <c r="C289" s="2" t="s">
        <v>64</v>
      </c>
      <c r="D289" s="2" t="s">
        <v>78</v>
      </c>
      <c r="E289" s="2" t="s">
        <v>736</v>
      </c>
      <c r="F289" s="2" t="s">
        <v>38</v>
      </c>
      <c r="G289" s="2">
        <v>1069</v>
      </c>
      <c r="H289" s="2" t="s">
        <v>737</v>
      </c>
      <c r="I289" s="2" t="s">
        <v>738</v>
      </c>
      <c r="J289" s="1">
        <f>VLOOKUP($H289,[1]Detail!$B:$R,14,0)</f>
        <v>2820980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200000</v>
      </c>
      <c r="Q289" s="1">
        <v>0</v>
      </c>
      <c r="R289" s="1">
        <v>0</v>
      </c>
      <c r="S289" s="1">
        <v>0</v>
      </c>
      <c r="T289" s="1">
        <v>0</v>
      </c>
      <c r="U289" s="1">
        <f>VLOOKUP($H289,[1]Detail!$B:$AI,34,0)</f>
        <v>0</v>
      </c>
    </row>
    <row r="290" spans="1:21" x14ac:dyDescent="0.35">
      <c r="A290" s="2">
        <v>289</v>
      </c>
      <c r="B290" s="2">
        <v>2</v>
      </c>
      <c r="C290" s="2" t="s">
        <v>73</v>
      </c>
      <c r="D290" s="2" t="s">
        <v>74</v>
      </c>
      <c r="E290" s="2" t="s">
        <v>75</v>
      </c>
      <c r="F290" s="2" t="s">
        <v>38</v>
      </c>
      <c r="G290" s="2">
        <v>1104</v>
      </c>
      <c r="H290" s="2" t="s">
        <v>739</v>
      </c>
      <c r="I290" s="2" t="s">
        <v>740</v>
      </c>
      <c r="J290" s="1">
        <f>VLOOKUP($H290,[1]Detail!$B:$R,14,0)</f>
        <v>2750136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f>VLOOKUP($H290,[1]Detail!$B:$AI,34,0)</f>
        <v>0</v>
      </c>
    </row>
    <row r="291" spans="1:21" x14ac:dyDescent="0.35">
      <c r="A291" s="2">
        <v>290</v>
      </c>
      <c r="B291" s="2">
        <v>2</v>
      </c>
      <c r="C291" s="2" t="s">
        <v>64</v>
      </c>
      <c r="D291" s="2" t="s">
        <v>178</v>
      </c>
      <c r="E291" s="2" t="s">
        <v>450</v>
      </c>
      <c r="F291" s="2" t="s">
        <v>38</v>
      </c>
      <c r="G291" s="2">
        <v>1105</v>
      </c>
      <c r="H291" s="2" t="s">
        <v>741</v>
      </c>
      <c r="I291" s="2" t="s">
        <v>742</v>
      </c>
      <c r="J291" s="1">
        <f>VLOOKUP($H291,[1]Detail!$B:$R,14,0)</f>
        <v>2833969</v>
      </c>
      <c r="K291" s="1">
        <v>0</v>
      </c>
      <c r="L291" s="1">
        <v>250000</v>
      </c>
      <c r="M291" s="1">
        <v>0</v>
      </c>
      <c r="N291" s="1">
        <v>0</v>
      </c>
      <c r="O291" s="1">
        <v>0</v>
      </c>
      <c r="P291" s="1">
        <v>200000</v>
      </c>
      <c r="Q291" s="1">
        <v>0</v>
      </c>
      <c r="R291" s="1">
        <v>0</v>
      </c>
      <c r="S291" s="1">
        <v>0</v>
      </c>
      <c r="T291" s="1">
        <v>0</v>
      </c>
      <c r="U291" s="1">
        <f>VLOOKUP($H291,[1]Detail!$B:$AI,34,0)</f>
        <v>0</v>
      </c>
    </row>
    <row r="292" spans="1:21" x14ac:dyDescent="0.35">
      <c r="A292" s="2">
        <v>291</v>
      </c>
      <c r="B292" s="2">
        <v>2</v>
      </c>
      <c r="C292" s="2" t="s">
        <v>64</v>
      </c>
      <c r="D292" s="2" t="s">
        <v>178</v>
      </c>
      <c r="E292" s="2" t="s">
        <v>179</v>
      </c>
      <c r="F292" s="2" t="s">
        <v>38</v>
      </c>
      <c r="G292" s="2">
        <v>1106</v>
      </c>
      <c r="H292" s="2" t="s">
        <v>743</v>
      </c>
      <c r="I292" s="2" t="s">
        <v>744</v>
      </c>
      <c r="J292" s="1">
        <f>VLOOKUP($H292,[1]Detail!$B:$R,14,0)</f>
        <v>2750136</v>
      </c>
      <c r="K292" s="1">
        <v>0</v>
      </c>
      <c r="L292" s="1">
        <v>250000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f>VLOOKUP($H292,[1]Detail!$B:$AI,34,0)</f>
        <v>0</v>
      </c>
    </row>
    <row r="293" spans="1:21" x14ac:dyDescent="0.35">
      <c r="A293" s="2">
        <v>292</v>
      </c>
      <c r="B293" s="2">
        <v>2</v>
      </c>
      <c r="C293" s="2" t="s">
        <v>45</v>
      </c>
      <c r="D293" s="2" t="s">
        <v>46</v>
      </c>
      <c r="E293" s="2" t="s">
        <v>47</v>
      </c>
      <c r="F293" s="2" t="s">
        <v>38</v>
      </c>
      <c r="G293" s="2">
        <v>1610</v>
      </c>
      <c r="H293" s="2" t="s">
        <v>745</v>
      </c>
      <c r="I293" s="2" t="s">
        <v>746</v>
      </c>
      <c r="J293" s="1">
        <f>VLOOKUP($H293,[1]Detail!$B:$R,14,0)</f>
        <v>2750136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f>VLOOKUP($H293,[1]Detail!$B:$AI,34,0)</f>
        <v>0</v>
      </c>
    </row>
    <row r="294" spans="1:21" x14ac:dyDescent="0.35">
      <c r="A294" s="2">
        <v>293</v>
      </c>
      <c r="B294" s="2">
        <v>2</v>
      </c>
      <c r="C294" s="2" t="s">
        <v>64</v>
      </c>
      <c r="D294" s="2" t="s">
        <v>178</v>
      </c>
      <c r="E294" s="2" t="s">
        <v>296</v>
      </c>
      <c r="F294" s="2" t="s">
        <v>38</v>
      </c>
      <c r="G294" s="2">
        <v>1614</v>
      </c>
      <c r="H294" s="2" t="s">
        <v>747</v>
      </c>
      <c r="I294" s="2" t="s">
        <v>748</v>
      </c>
      <c r="J294" s="1">
        <f>VLOOKUP($H294,[1]Detail!$B:$R,14,0)</f>
        <v>2750136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f>VLOOKUP($H294,[1]Detail!$B:$AI,34,0)</f>
        <v>0</v>
      </c>
    </row>
    <row r="295" spans="1:21" x14ac:dyDescent="0.35">
      <c r="A295" s="2">
        <v>294</v>
      </c>
      <c r="B295" s="2">
        <v>2</v>
      </c>
      <c r="C295" s="2" t="s">
        <v>64</v>
      </c>
      <c r="D295" s="2" t="s">
        <v>178</v>
      </c>
      <c r="E295" s="2" t="s">
        <v>296</v>
      </c>
      <c r="F295" s="2" t="s">
        <v>38</v>
      </c>
      <c r="G295" s="2">
        <v>1615</v>
      </c>
      <c r="H295" s="2" t="s">
        <v>749</v>
      </c>
      <c r="I295" s="2" t="s">
        <v>750</v>
      </c>
      <c r="J295" s="1">
        <f>VLOOKUP($H295,[1]Detail!$B:$R,14,0)</f>
        <v>2750136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f>VLOOKUP($H295,[1]Detail!$B:$AI,34,0)</f>
        <v>0</v>
      </c>
    </row>
    <row r="296" spans="1:21" x14ac:dyDescent="0.35">
      <c r="A296" s="2">
        <v>295</v>
      </c>
      <c r="B296" s="2">
        <v>2</v>
      </c>
      <c r="C296" s="2" t="s">
        <v>73</v>
      </c>
      <c r="D296" s="2" t="s">
        <v>74</v>
      </c>
      <c r="E296" s="2" t="s">
        <v>751</v>
      </c>
      <c r="F296" s="2" t="s">
        <v>38</v>
      </c>
      <c r="G296" s="2">
        <v>1619</v>
      </c>
      <c r="H296" s="2" t="s">
        <v>752</v>
      </c>
      <c r="I296" s="2" t="s">
        <v>753</v>
      </c>
      <c r="J296" s="1">
        <f>VLOOKUP($H296,[1]Detail!$B:$R,14,0)</f>
        <v>2750136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f>VLOOKUP($H296,[1]Detail!$B:$AI,34,0)</f>
        <v>0</v>
      </c>
    </row>
    <row r="297" spans="1:21" x14ac:dyDescent="0.35">
      <c r="A297" s="2">
        <v>296</v>
      </c>
      <c r="B297" s="2">
        <v>2</v>
      </c>
      <c r="C297" s="2" t="s">
        <v>73</v>
      </c>
      <c r="D297" s="2" t="s">
        <v>84</v>
      </c>
      <c r="E297" s="2" t="s">
        <v>85</v>
      </c>
      <c r="F297" s="2" t="s">
        <v>38</v>
      </c>
      <c r="G297" s="2">
        <v>1695</v>
      </c>
      <c r="H297" s="2" t="s">
        <v>754</v>
      </c>
      <c r="I297" s="2" t="s">
        <v>755</v>
      </c>
      <c r="J297" s="1">
        <f>VLOOKUP($H297,[1]Detail!$B:$R,14,0)</f>
        <v>2750136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f>VLOOKUP($H297,[1]Detail!$B:$AI,34,0)</f>
        <v>0</v>
      </c>
    </row>
    <row r="298" spans="1:21" x14ac:dyDescent="0.35">
      <c r="A298" s="2">
        <v>297</v>
      </c>
      <c r="B298" s="2">
        <v>2</v>
      </c>
      <c r="C298" s="2" t="s">
        <v>22</v>
      </c>
      <c r="D298" s="2" t="s">
        <v>211</v>
      </c>
      <c r="E298" s="2" t="s">
        <v>756</v>
      </c>
      <c r="F298" s="2" t="s">
        <v>42</v>
      </c>
      <c r="G298" s="2">
        <v>1697</v>
      </c>
      <c r="H298" s="2" t="s">
        <v>757</v>
      </c>
      <c r="I298" s="2" t="s">
        <v>758</v>
      </c>
      <c r="J298" s="1">
        <f>VLOOKUP($H298,[1]Detail!$B:$R,14,0)</f>
        <v>3080000</v>
      </c>
      <c r="K298" s="1">
        <v>500000</v>
      </c>
      <c r="L298" s="1">
        <v>0</v>
      </c>
      <c r="M298" s="1">
        <v>0</v>
      </c>
      <c r="N298" s="1">
        <v>0</v>
      </c>
      <c r="O298" s="1">
        <v>0</v>
      </c>
      <c r="P298" s="1">
        <v>100000</v>
      </c>
      <c r="Q298" s="1">
        <v>0</v>
      </c>
      <c r="R298" s="1">
        <v>0</v>
      </c>
      <c r="S298" s="1">
        <v>0</v>
      </c>
      <c r="T298" s="1">
        <v>0</v>
      </c>
      <c r="U298" s="1">
        <f>VLOOKUP($H298,[1]Detail!$B:$AI,34,0)</f>
        <v>0</v>
      </c>
    </row>
    <row r="299" spans="1:21" x14ac:dyDescent="0.35">
      <c r="A299" s="2">
        <v>298</v>
      </c>
      <c r="B299" s="2">
        <v>2</v>
      </c>
      <c r="C299" s="2" t="s">
        <v>21</v>
      </c>
      <c r="D299" s="2" t="s">
        <v>759</v>
      </c>
      <c r="E299" s="2" t="s">
        <v>760</v>
      </c>
      <c r="F299" s="2" t="s">
        <v>24</v>
      </c>
      <c r="G299" s="2">
        <v>1698</v>
      </c>
      <c r="H299" s="2" t="s">
        <v>761</v>
      </c>
      <c r="I299" s="2" t="s">
        <v>762</v>
      </c>
      <c r="J299" s="1">
        <f>VLOOKUP($H299,[1]Detail!$B:$R,14,0)</f>
        <v>13750000</v>
      </c>
      <c r="K299" s="1">
        <v>2000000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f>VLOOKUP($H299,[1]Detail!$B:$AI,34,0)</f>
        <v>0</v>
      </c>
    </row>
    <row r="300" spans="1:21" x14ac:dyDescent="0.35">
      <c r="A300" s="2">
        <v>299</v>
      </c>
      <c r="B300" s="2">
        <v>2</v>
      </c>
      <c r="C300" s="2" t="s">
        <v>73</v>
      </c>
      <c r="D300" s="2" t="s">
        <v>74</v>
      </c>
      <c r="E300" s="2" t="s">
        <v>107</v>
      </c>
      <c r="F300" s="2" t="s">
        <v>38</v>
      </c>
      <c r="G300" s="2">
        <v>1699</v>
      </c>
      <c r="H300" s="2" t="s">
        <v>763</v>
      </c>
      <c r="I300" s="2" t="s">
        <v>764</v>
      </c>
      <c r="J300" s="1">
        <f>VLOOKUP($H300,[1]Detail!$B:$R,14,0)</f>
        <v>2750136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f>VLOOKUP($H300,[1]Detail!$B:$AI,34,0)</f>
        <v>0</v>
      </c>
    </row>
    <row r="301" spans="1:21" x14ac:dyDescent="0.35">
      <c r="A301" s="2">
        <v>300</v>
      </c>
      <c r="B301" s="2">
        <v>2</v>
      </c>
      <c r="C301" s="2" t="s">
        <v>45</v>
      </c>
      <c r="D301" s="2" t="s">
        <v>128</v>
      </c>
      <c r="E301" s="2" t="s">
        <v>475</v>
      </c>
      <c r="F301" s="2" t="s">
        <v>38</v>
      </c>
      <c r="G301" s="2">
        <v>1750</v>
      </c>
      <c r="H301" s="2" t="s">
        <v>765</v>
      </c>
      <c r="I301" s="2" t="s">
        <v>766</v>
      </c>
      <c r="J301" s="1">
        <f>VLOOKUP($H301,[1]Detail!$B:$R,14,0)</f>
        <v>2750136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f>VLOOKUP($H301,[1]Detail!$B:$AI,34,0)</f>
        <v>0</v>
      </c>
    </row>
    <row r="302" spans="1:21" x14ac:dyDescent="0.35">
      <c r="A302" s="2">
        <v>301</v>
      </c>
      <c r="B302" s="2">
        <v>2</v>
      </c>
      <c r="C302" s="2" t="s">
        <v>136</v>
      </c>
      <c r="D302" s="2" t="s">
        <v>137</v>
      </c>
      <c r="E302" s="2" t="s">
        <v>767</v>
      </c>
      <c r="F302" s="2" t="s">
        <v>104</v>
      </c>
      <c r="G302" s="2">
        <v>1751</v>
      </c>
      <c r="H302" s="2" t="s">
        <v>768</v>
      </c>
      <c r="I302" s="2" t="s">
        <v>769</v>
      </c>
      <c r="J302" s="1">
        <f>VLOOKUP($H302,[1]Detail!$B:$R,14,0)</f>
        <v>8000000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f>VLOOKUP($H302,[1]Detail!$B:$AI,34,0)</f>
        <v>0</v>
      </c>
    </row>
    <row r="303" spans="1:21" x14ac:dyDescent="0.35">
      <c r="A303" s="2">
        <v>302</v>
      </c>
      <c r="B303" s="2">
        <v>2</v>
      </c>
      <c r="C303" s="2" t="s">
        <v>21</v>
      </c>
      <c r="D303" s="2" t="s">
        <v>165</v>
      </c>
      <c r="E303" s="2" t="s">
        <v>770</v>
      </c>
      <c r="F303" s="2" t="s">
        <v>24</v>
      </c>
      <c r="G303" s="2">
        <v>6466</v>
      </c>
      <c r="H303" s="2" t="s">
        <v>771</v>
      </c>
      <c r="I303" s="2" t="s">
        <v>772</v>
      </c>
      <c r="J303" s="1">
        <f>VLOOKUP($H303,[1]Detail!$B:$R,14,0)</f>
        <v>13174470</v>
      </c>
      <c r="K303" s="1">
        <v>2000000</v>
      </c>
      <c r="L303" s="1">
        <v>0</v>
      </c>
      <c r="M303" s="1">
        <v>47600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f>VLOOKUP($H303,[1]Detail!$B:$AI,34,0)</f>
        <v>0</v>
      </c>
    </row>
    <row r="304" spans="1:21" x14ac:dyDescent="0.35">
      <c r="A304" s="2">
        <v>303</v>
      </c>
      <c r="B304" s="2">
        <v>2</v>
      </c>
      <c r="C304" s="2" t="s">
        <v>45</v>
      </c>
      <c r="D304" s="2" t="s">
        <v>128</v>
      </c>
      <c r="E304" s="2" t="s">
        <v>288</v>
      </c>
      <c r="F304" s="2" t="s">
        <v>38</v>
      </c>
      <c r="G304" s="2">
        <v>1031</v>
      </c>
      <c r="H304" s="2" t="s">
        <v>773</v>
      </c>
      <c r="I304" s="2" t="s">
        <v>774</v>
      </c>
      <c r="J304" s="1">
        <f>VLOOKUP($H304,[1]Detail!$B:$R,14,0)</f>
        <v>2935141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200000</v>
      </c>
      <c r="Q304" s="1">
        <v>0</v>
      </c>
      <c r="R304" s="1">
        <v>0</v>
      </c>
      <c r="S304" s="1">
        <v>0</v>
      </c>
      <c r="T304" s="1">
        <v>0</v>
      </c>
      <c r="U304" s="1">
        <f>VLOOKUP($H304,[1]Detail!$B:$AI,34,0)</f>
        <v>0</v>
      </c>
    </row>
    <row r="305" spans="1:21" x14ac:dyDescent="0.35">
      <c r="A305" s="2">
        <v>304</v>
      </c>
      <c r="B305" s="2">
        <v>2</v>
      </c>
      <c r="C305" s="2" t="s">
        <v>136</v>
      </c>
      <c r="D305" s="2" t="s">
        <v>378</v>
      </c>
      <c r="E305" s="2" t="s">
        <v>775</v>
      </c>
      <c r="F305" s="2" t="s">
        <v>38</v>
      </c>
      <c r="G305" s="2">
        <v>2494</v>
      </c>
      <c r="H305" s="2" t="s">
        <v>776</v>
      </c>
      <c r="I305" s="2" t="s">
        <v>777</v>
      </c>
      <c r="J305" s="1">
        <f>VLOOKUP($H305,[1]Detail!$B:$R,14,0)</f>
        <v>3653864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f>VLOOKUP($H305,[1]Detail!$B:$AI,34,0)</f>
        <v>0</v>
      </c>
    </row>
    <row r="306" spans="1:21" x14ac:dyDescent="0.35">
      <c r="A306" s="2">
        <v>305</v>
      </c>
      <c r="B306" s="2">
        <v>2</v>
      </c>
      <c r="C306" s="2" t="s">
        <v>32</v>
      </c>
      <c r="D306" s="2" t="s">
        <v>36</v>
      </c>
      <c r="E306" s="2" t="s">
        <v>37</v>
      </c>
      <c r="F306" s="2" t="s">
        <v>38</v>
      </c>
      <c r="G306" s="2">
        <v>1033</v>
      </c>
      <c r="H306" s="2" t="s">
        <v>778</v>
      </c>
      <c r="I306" s="2" t="s">
        <v>779</v>
      </c>
      <c r="J306" s="1">
        <f>VLOOKUP($H306,[1]Detail!$B:$R,14,0)</f>
        <v>2750136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f>VLOOKUP($H306,[1]Detail!$B:$AI,34,0)</f>
        <v>27501</v>
      </c>
    </row>
    <row r="307" spans="1:21" x14ac:dyDescent="0.35">
      <c r="A307" s="2">
        <v>306</v>
      </c>
      <c r="B307" s="2">
        <v>2</v>
      </c>
      <c r="C307" s="2" t="s">
        <v>45</v>
      </c>
      <c r="D307" s="2" t="s">
        <v>46</v>
      </c>
      <c r="E307" s="2" t="s">
        <v>780</v>
      </c>
      <c r="F307" s="2" t="s">
        <v>104</v>
      </c>
      <c r="G307" s="2">
        <v>4678</v>
      </c>
      <c r="H307" s="2" t="s">
        <v>781</v>
      </c>
      <c r="I307" s="2" t="s">
        <v>782</v>
      </c>
      <c r="J307" s="1">
        <f>VLOOKUP($H307,[1]Detail!$B:$R,14,0)</f>
        <v>3960000</v>
      </c>
      <c r="K307" s="1">
        <v>1000000</v>
      </c>
      <c r="L307" s="1">
        <v>0</v>
      </c>
      <c r="M307" s="1">
        <v>19000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f>VLOOKUP($H307,[1]Detail!$B:$AI,34,0)</f>
        <v>0</v>
      </c>
    </row>
    <row r="308" spans="1:21" x14ac:dyDescent="0.35">
      <c r="A308" s="2">
        <v>307</v>
      </c>
      <c r="B308" s="2">
        <v>2</v>
      </c>
      <c r="C308" s="2" t="s">
        <v>45</v>
      </c>
      <c r="D308" s="2" t="s">
        <v>128</v>
      </c>
      <c r="E308" s="2" t="s">
        <v>288</v>
      </c>
      <c r="F308" s="2" t="s">
        <v>38</v>
      </c>
      <c r="G308" s="2">
        <v>1035</v>
      </c>
      <c r="H308" s="2" t="s">
        <v>783</v>
      </c>
      <c r="I308" s="2" t="s">
        <v>784</v>
      </c>
      <c r="J308" s="1">
        <f>VLOOKUP($H308,[1]Detail!$B:$R,14,0)</f>
        <v>2949754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200000</v>
      </c>
      <c r="Q308" s="1">
        <v>0</v>
      </c>
      <c r="R308" s="1">
        <v>0</v>
      </c>
      <c r="S308" s="1">
        <v>0</v>
      </c>
      <c r="T308" s="1">
        <v>0</v>
      </c>
      <c r="U308" s="1">
        <f>VLOOKUP($H308,[1]Detail!$B:$AI,34,0)</f>
        <v>0</v>
      </c>
    </row>
    <row r="309" spans="1:21" x14ac:dyDescent="0.35">
      <c r="A309" s="2">
        <v>308</v>
      </c>
      <c r="B309" s="2">
        <v>2</v>
      </c>
      <c r="C309" s="2" t="s">
        <v>73</v>
      </c>
      <c r="D309" s="2" t="s">
        <v>74</v>
      </c>
      <c r="E309" s="2" t="s">
        <v>75</v>
      </c>
      <c r="F309" s="2" t="s">
        <v>38</v>
      </c>
      <c r="G309" s="2">
        <v>1070</v>
      </c>
      <c r="H309" s="2" t="s">
        <v>785</v>
      </c>
      <c r="I309" s="2" t="s">
        <v>786</v>
      </c>
      <c r="J309" s="1">
        <f>VLOOKUP($H309,[1]Detail!$B:$R,14,0)</f>
        <v>2750136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f>VLOOKUP($H309,[1]Detail!$B:$AI,34,0)</f>
        <v>0</v>
      </c>
    </row>
    <row r="310" spans="1:21" x14ac:dyDescent="0.35">
      <c r="A310" s="2">
        <v>309</v>
      </c>
      <c r="B310" s="2">
        <v>2</v>
      </c>
      <c r="C310" s="2" t="s">
        <v>45</v>
      </c>
      <c r="D310" s="2" t="s">
        <v>128</v>
      </c>
      <c r="E310" s="2" t="s">
        <v>724</v>
      </c>
      <c r="F310" s="2" t="s">
        <v>42</v>
      </c>
      <c r="G310" s="2">
        <v>1071</v>
      </c>
      <c r="H310" s="2" t="s">
        <v>787</v>
      </c>
      <c r="I310" s="2" t="s">
        <v>788</v>
      </c>
      <c r="J310" s="1">
        <f>VLOOKUP($H310,[1]Detail!$B:$R,14,0)</f>
        <v>3190000</v>
      </c>
      <c r="K310" s="1">
        <v>500000</v>
      </c>
      <c r="L310" s="1">
        <v>0</v>
      </c>
      <c r="M310" s="1">
        <v>11900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f>VLOOKUP($H310,[1]Detail!$B:$AI,34,0)</f>
        <v>0</v>
      </c>
    </row>
    <row r="311" spans="1:21" x14ac:dyDescent="0.35">
      <c r="A311" s="2">
        <v>310</v>
      </c>
      <c r="B311" s="2">
        <v>2</v>
      </c>
      <c r="C311" s="2" t="s">
        <v>182</v>
      </c>
      <c r="D311" s="2" t="s">
        <v>183</v>
      </c>
      <c r="E311" s="2" t="s">
        <v>789</v>
      </c>
      <c r="F311" s="2" t="s">
        <v>42</v>
      </c>
      <c r="G311" s="2">
        <v>1327</v>
      </c>
      <c r="H311" s="2" t="s">
        <v>790</v>
      </c>
      <c r="I311" s="2" t="s">
        <v>791</v>
      </c>
      <c r="J311" s="1">
        <f>VLOOKUP($H311,[1]Detail!$B:$R,14,0)</f>
        <v>4620000</v>
      </c>
      <c r="K311" s="1">
        <v>500000</v>
      </c>
      <c r="L311" s="1">
        <v>250000</v>
      </c>
      <c r="M311" s="1">
        <v>11900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f>VLOOKUP($H311,[1]Detail!$B:$AI,34,0)</f>
        <v>0</v>
      </c>
    </row>
    <row r="312" spans="1:21" x14ac:dyDescent="0.35">
      <c r="A312" s="2">
        <v>311</v>
      </c>
      <c r="B312" s="2">
        <v>2</v>
      </c>
      <c r="C312" s="2" t="s">
        <v>73</v>
      </c>
      <c r="D312" s="2" t="s">
        <v>74</v>
      </c>
      <c r="E312" s="2" t="s">
        <v>75</v>
      </c>
      <c r="F312" s="2" t="s">
        <v>38</v>
      </c>
      <c r="G312" s="2">
        <v>1109</v>
      </c>
      <c r="H312" s="2" t="s">
        <v>792</v>
      </c>
      <c r="I312" s="2" t="s">
        <v>793</v>
      </c>
      <c r="J312" s="1">
        <f>VLOOKUP($H312,[1]Detail!$B:$R,14,0)</f>
        <v>2750136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f>VLOOKUP($H312,[1]Detail!$B:$AI,34,0)</f>
        <v>0</v>
      </c>
    </row>
    <row r="313" spans="1:21" x14ac:dyDescent="0.35">
      <c r="A313" s="2">
        <v>312</v>
      </c>
      <c r="B313" s="2">
        <v>2</v>
      </c>
      <c r="C313" s="2" t="s">
        <v>73</v>
      </c>
      <c r="D313" s="2" t="s">
        <v>84</v>
      </c>
      <c r="E313" s="2" t="s">
        <v>568</v>
      </c>
      <c r="F313" s="2" t="s">
        <v>38</v>
      </c>
      <c r="G313" s="2">
        <v>1110</v>
      </c>
      <c r="H313" s="2" t="s">
        <v>794</v>
      </c>
      <c r="I313" s="2" t="s">
        <v>795</v>
      </c>
      <c r="J313" s="1">
        <f>VLOOKUP($H313,[1]Detail!$B:$R,14,0)</f>
        <v>2917967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200000</v>
      </c>
      <c r="Q313" s="1">
        <v>0</v>
      </c>
      <c r="R313" s="1">
        <v>0</v>
      </c>
      <c r="S313" s="1">
        <v>0</v>
      </c>
      <c r="T313" s="1">
        <v>0</v>
      </c>
      <c r="U313" s="1">
        <f>VLOOKUP($H313,[1]Detail!$B:$AI,34,0)</f>
        <v>0</v>
      </c>
    </row>
    <row r="314" spans="1:21" x14ac:dyDescent="0.35">
      <c r="A314" s="2">
        <v>313</v>
      </c>
      <c r="B314" s="2">
        <v>2</v>
      </c>
      <c r="C314" s="2" t="s">
        <v>22</v>
      </c>
      <c r="D314" s="2" t="s">
        <v>796</v>
      </c>
      <c r="E314" s="2" t="s">
        <v>797</v>
      </c>
      <c r="F314" s="2" t="s">
        <v>42</v>
      </c>
      <c r="G314" s="2">
        <v>6285</v>
      </c>
      <c r="H314" s="2" t="s">
        <v>798</v>
      </c>
      <c r="I314" s="2" t="s">
        <v>799</v>
      </c>
      <c r="J314" s="1">
        <f>VLOOKUP($H314,[1]Detail!$B:$R,14,0)</f>
        <v>3590864</v>
      </c>
      <c r="K314" s="1">
        <v>500000</v>
      </c>
      <c r="L314" s="1">
        <v>0</v>
      </c>
      <c r="M314" s="1">
        <v>11900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f>VLOOKUP($H314,[1]Detail!$B:$AI,34,0)</f>
        <v>40909</v>
      </c>
    </row>
    <row r="315" spans="1:21" x14ac:dyDescent="0.35">
      <c r="A315" s="2">
        <v>314</v>
      </c>
      <c r="B315" s="2">
        <v>2</v>
      </c>
      <c r="C315" s="2" t="s">
        <v>73</v>
      </c>
      <c r="D315" s="2" t="s">
        <v>74</v>
      </c>
      <c r="E315" s="2" t="s">
        <v>75</v>
      </c>
      <c r="F315" s="2" t="s">
        <v>38</v>
      </c>
      <c r="G315" s="2">
        <v>1112</v>
      </c>
      <c r="H315" s="2" t="s">
        <v>800</v>
      </c>
      <c r="I315" s="2" t="s">
        <v>801</v>
      </c>
      <c r="J315" s="1">
        <f>VLOOKUP($H315,[1]Detail!$B:$R,14,0)</f>
        <v>2750136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f>VLOOKUP($H315,[1]Detail!$B:$AI,34,0)</f>
        <v>0</v>
      </c>
    </row>
    <row r="316" spans="1:21" x14ac:dyDescent="0.35">
      <c r="A316" s="2">
        <v>315</v>
      </c>
      <c r="B316" s="2">
        <v>2</v>
      </c>
      <c r="C316" s="2" t="s">
        <v>73</v>
      </c>
      <c r="D316" s="2" t="s">
        <v>74</v>
      </c>
      <c r="E316" s="2" t="s">
        <v>75</v>
      </c>
      <c r="F316" s="2" t="s">
        <v>38</v>
      </c>
      <c r="G316" s="2">
        <v>1113</v>
      </c>
      <c r="H316" s="2" t="s">
        <v>802</v>
      </c>
      <c r="I316" s="2" t="s">
        <v>803</v>
      </c>
      <c r="J316" s="1">
        <f>VLOOKUP($H316,[1]Detail!$B:$R,14,0)</f>
        <v>2750136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f>VLOOKUP($H316,[1]Detail!$B:$AI,34,0)</f>
        <v>0</v>
      </c>
    </row>
    <row r="317" spans="1:21" x14ac:dyDescent="0.35">
      <c r="A317" s="2">
        <v>316</v>
      </c>
      <c r="B317" s="2">
        <v>2</v>
      </c>
      <c r="C317" s="2" t="s">
        <v>73</v>
      </c>
      <c r="D317" s="2" t="s">
        <v>74</v>
      </c>
      <c r="E317" s="2" t="s">
        <v>711</v>
      </c>
      <c r="F317" s="2" t="s">
        <v>38</v>
      </c>
      <c r="G317" s="2">
        <v>1114</v>
      </c>
      <c r="H317" s="2" t="s">
        <v>804</v>
      </c>
      <c r="I317" s="2" t="s">
        <v>805</v>
      </c>
      <c r="J317" s="1">
        <f>VLOOKUP($H317,[1]Detail!$B:$R,14,0)</f>
        <v>2820980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200000</v>
      </c>
      <c r="Q317" s="1">
        <v>0</v>
      </c>
      <c r="R317" s="1">
        <v>0</v>
      </c>
      <c r="S317" s="1">
        <v>0</v>
      </c>
      <c r="T317" s="1">
        <v>0</v>
      </c>
      <c r="U317" s="1">
        <f>VLOOKUP($H317,[1]Detail!$B:$AI,34,0)</f>
        <v>0</v>
      </c>
    </row>
    <row r="318" spans="1:21" x14ac:dyDescent="0.35">
      <c r="A318" s="2">
        <v>317</v>
      </c>
      <c r="B318" s="2">
        <v>2</v>
      </c>
      <c r="C318" s="2" t="s">
        <v>45</v>
      </c>
      <c r="D318" s="2" t="s">
        <v>46</v>
      </c>
      <c r="E318" s="2" t="s">
        <v>58</v>
      </c>
      <c r="F318" s="2" t="s">
        <v>42</v>
      </c>
      <c r="G318" s="2">
        <v>4403</v>
      </c>
      <c r="H318" s="2" t="s">
        <v>806</v>
      </c>
      <c r="I318" s="2" t="s">
        <v>807</v>
      </c>
      <c r="J318" s="1">
        <f>VLOOKUP($H318,[1]Detail!$B:$R,14,0)</f>
        <v>2833969</v>
      </c>
      <c r="K318" s="1">
        <v>500000</v>
      </c>
      <c r="L318" s="1">
        <v>0</v>
      </c>
      <c r="M318" s="1">
        <v>11900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f>VLOOKUP($H318,[1]Detail!$B:$AI,34,0)</f>
        <v>0</v>
      </c>
    </row>
    <row r="319" spans="1:21" x14ac:dyDescent="0.35">
      <c r="A319" s="2">
        <v>318</v>
      </c>
      <c r="B319" s="2">
        <v>2</v>
      </c>
      <c r="C319" s="2" t="s">
        <v>64</v>
      </c>
      <c r="D319" s="2" t="s">
        <v>178</v>
      </c>
      <c r="E319" s="2" t="s">
        <v>179</v>
      </c>
      <c r="F319" s="2" t="s">
        <v>38</v>
      </c>
      <c r="G319" s="2">
        <v>1117</v>
      </c>
      <c r="H319" s="2" t="s">
        <v>808</v>
      </c>
      <c r="I319" s="2" t="s">
        <v>809</v>
      </c>
      <c r="J319" s="1">
        <f>VLOOKUP($H319,[1]Detail!$B:$R,14,0)</f>
        <v>2750136</v>
      </c>
      <c r="K319" s="1">
        <v>0</v>
      </c>
      <c r="L319" s="1">
        <v>250000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f>VLOOKUP($H319,[1]Detail!$B:$AI,34,0)</f>
        <v>0</v>
      </c>
    </row>
    <row r="320" spans="1:21" x14ac:dyDescent="0.35">
      <c r="A320" s="2">
        <v>319</v>
      </c>
      <c r="B320" s="2">
        <v>2</v>
      </c>
      <c r="C320" s="2" t="s">
        <v>45</v>
      </c>
      <c r="D320" s="2" t="s">
        <v>46</v>
      </c>
      <c r="E320" s="2" t="s">
        <v>47</v>
      </c>
      <c r="F320" s="2" t="s">
        <v>38</v>
      </c>
      <c r="G320" s="2">
        <v>1118</v>
      </c>
      <c r="H320" s="2" t="s">
        <v>810</v>
      </c>
      <c r="I320" s="2" t="s">
        <v>811</v>
      </c>
      <c r="J320" s="1">
        <f>VLOOKUP($H320,[1]Detail!$B:$R,14,0)</f>
        <v>2750136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f>VLOOKUP($H320,[1]Detail!$B:$AI,34,0)</f>
        <v>0</v>
      </c>
    </row>
    <row r="321" spans="1:21" x14ac:dyDescent="0.35">
      <c r="A321" s="2">
        <v>320</v>
      </c>
      <c r="B321" s="2">
        <v>2</v>
      </c>
      <c r="C321" s="2" t="s">
        <v>45</v>
      </c>
      <c r="D321" s="2" t="s">
        <v>46</v>
      </c>
      <c r="E321" s="2" t="s">
        <v>47</v>
      </c>
      <c r="F321" s="2" t="s">
        <v>38</v>
      </c>
      <c r="G321" s="2">
        <v>1120</v>
      </c>
      <c r="H321" s="2" t="s">
        <v>812</v>
      </c>
      <c r="I321" s="2" t="s">
        <v>813</v>
      </c>
      <c r="J321" s="1">
        <f>VLOOKUP($H321,[1]Detail!$B:$R,14,0)</f>
        <v>2750136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f>VLOOKUP($H321,[1]Detail!$B:$AI,34,0)</f>
        <v>0</v>
      </c>
    </row>
    <row r="322" spans="1:21" x14ac:dyDescent="0.35">
      <c r="A322" s="2">
        <v>321</v>
      </c>
      <c r="B322" s="2">
        <v>2</v>
      </c>
      <c r="C322" s="2" t="s">
        <v>45</v>
      </c>
      <c r="D322" s="2" t="s">
        <v>46</v>
      </c>
      <c r="E322" s="2" t="s">
        <v>416</v>
      </c>
      <c r="F322" s="2" t="s">
        <v>38</v>
      </c>
      <c r="G322" s="2">
        <v>1122</v>
      </c>
      <c r="H322" s="2" t="s">
        <v>814</v>
      </c>
      <c r="I322" s="2" t="s">
        <v>815</v>
      </c>
      <c r="J322" s="1">
        <f>VLOOKUP($H322,[1]Detail!$B:$R,14,0)</f>
        <v>2750136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200000</v>
      </c>
      <c r="Q322" s="1">
        <v>0</v>
      </c>
      <c r="R322" s="1">
        <v>0</v>
      </c>
      <c r="S322" s="1">
        <v>0</v>
      </c>
      <c r="T322" s="1">
        <v>0</v>
      </c>
      <c r="U322" s="1">
        <f>VLOOKUP($H322,[1]Detail!$B:$AI,34,0)</f>
        <v>0</v>
      </c>
    </row>
    <row r="323" spans="1:21" x14ac:dyDescent="0.35">
      <c r="A323" s="2">
        <v>322</v>
      </c>
      <c r="B323" s="2">
        <v>2</v>
      </c>
      <c r="C323" s="2" t="s">
        <v>64</v>
      </c>
      <c r="D323" s="2" t="s">
        <v>178</v>
      </c>
      <c r="E323" s="2" t="s">
        <v>179</v>
      </c>
      <c r="F323" s="2" t="s">
        <v>38</v>
      </c>
      <c r="G323" s="2">
        <v>1124</v>
      </c>
      <c r="H323" s="2" t="s">
        <v>816</v>
      </c>
      <c r="I323" s="2" t="s">
        <v>817</v>
      </c>
      <c r="J323" s="1">
        <f>VLOOKUP($H323,[1]Detail!$B:$R,14,0)</f>
        <v>2750136</v>
      </c>
      <c r="K323" s="1">
        <v>0</v>
      </c>
      <c r="L323" s="1">
        <v>250000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f>VLOOKUP($H323,[1]Detail!$B:$AI,34,0)</f>
        <v>0</v>
      </c>
    </row>
    <row r="324" spans="1:21" x14ac:dyDescent="0.35">
      <c r="A324" s="2">
        <v>323</v>
      </c>
      <c r="B324" s="2">
        <v>2</v>
      </c>
      <c r="C324" s="2" t="s">
        <v>73</v>
      </c>
      <c r="D324" s="2" t="s">
        <v>74</v>
      </c>
      <c r="E324" s="2" t="s">
        <v>711</v>
      </c>
      <c r="F324" s="2" t="s">
        <v>38</v>
      </c>
      <c r="G324" s="2">
        <v>1125</v>
      </c>
      <c r="H324" s="2" t="s">
        <v>818</v>
      </c>
      <c r="I324" s="2" t="s">
        <v>819</v>
      </c>
      <c r="J324" s="1">
        <f>VLOOKUP($H324,[1]Detail!$B:$R,14,0)</f>
        <v>2820980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200000</v>
      </c>
      <c r="Q324" s="1">
        <v>0</v>
      </c>
      <c r="R324" s="1">
        <v>0</v>
      </c>
      <c r="S324" s="1">
        <v>0</v>
      </c>
      <c r="T324" s="1">
        <v>0</v>
      </c>
      <c r="U324" s="1">
        <f>VLOOKUP($H324,[1]Detail!$B:$AI,34,0)</f>
        <v>0</v>
      </c>
    </row>
    <row r="325" spans="1:21" x14ac:dyDescent="0.35">
      <c r="A325" s="2">
        <v>324</v>
      </c>
      <c r="B325" s="2">
        <v>2</v>
      </c>
      <c r="C325" s="2" t="s">
        <v>73</v>
      </c>
      <c r="D325" s="2" t="s">
        <v>74</v>
      </c>
      <c r="E325" s="2" t="s">
        <v>75</v>
      </c>
      <c r="F325" s="2" t="s">
        <v>38</v>
      </c>
      <c r="G325" s="2">
        <v>1126</v>
      </c>
      <c r="H325" s="2" t="s">
        <v>820</v>
      </c>
      <c r="I325" s="2" t="s">
        <v>821</v>
      </c>
      <c r="J325" s="1">
        <f>VLOOKUP($H325,[1]Detail!$B:$R,14,0)</f>
        <v>2750136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f>VLOOKUP($H325,[1]Detail!$B:$AI,34,0)</f>
        <v>0</v>
      </c>
    </row>
    <row r="326" spans="1:21" x14ac:dyDescent="0.35">
      <c r="A326" s="2">
        <v>325</v>
      </c>
      <c r="B326" s="2">
        <v>2</v>
      </c>
      <c r="C326" s="2" t="s">
        <v>73</v>
      </c>
      <c r="D326" s="2" t="s">
        <v>74</v>
      </c>
      <c r="E326" s="2" t="s">
        <v>711</v>
      </c>
      <c r="F326" s="2" t="s">
        <v>38</v>
      </c>
      <c r="G326" s="2">
        <v>1127</v>
      </c>
      <c r="H326" s="2" t="s">
        <v>822</v>
      </c>
      <c r="I326" s="2" t="s">
        <v>823</v>
      </c>
      <c r="J326" s="1">
        <f>VLOOKUP($H326,[1]Detail!$B:$R,14,0)</f>
        <v>3136541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200000</v>
      </c>
      <c r="Q326" s="1">
        <v>0</v>
      </c>
      <c r="R326" s="1">
        <v>0</v>
      </c>
      <c r="S326" s="1">
        <v>0</v>
      </c>
      <c r="T326" s="1">
        <v>0</v>
      </c>
      <c r="U326" s="1">
        <f>VLOOKUP($H326,[1]Detail!$B:$AI,34,0)</f>
        <v>0</v>
      </c>
    </row>
    <row r="327" spans="1:21" x14ac:dyDescent="0.35">
      <c r="A327" s="2">
        <v>326</v>
      </c>
      <c r="B327" s="2">
        <v>2</v>
      </c>
      <c r="C327" s="2" t="s">
        <v>50</v>
      </c>
      <c r="D327" s="2" t="s">
        <v>51</v>
      </c>
      <c r="E327" s="2" t="s">
        <v>52</v>
      </c>
      <c r="F327" s="2" t="s">
        <v>38</v>
      </c>
      <c r="G327" s="2">
        <v>1128</v>
      </c>
      <c r="H327" s="2" t="s">
        <v>824</v>
      </c>
      <c r="I327" s="2" t="s">
        <v>825</v>
      </c>
      <c r="J327" s="1">
        <f>VLOOKUP($H327,[1]Detail!$B:$R,14,0)</f>
        <v>2750136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f>VLOOKUP($H327,[1]Detail!$B:$AI,34,0)</f>
        <v>0</v>
      </c>
    </row>
    <row r="328" spans="1:21" x14ac:dyDescent="0.35">
      <c r="A328" s="2">
        <v>327</v>
      </c>
      <c r="B328" s="2">
        <v>2</v>
      </c>
      <c r="C328" s="2" t="s">
        <v>73</v>
      </c>
      <c r="D328" s="2" t="s">
        <v>74</v>
      </c>
      <c r="E328" s="2" t="s">
        <v>75</v>
      </c>
      <c r="F328" s="2" t="s">
        <v>38</v>
      </c>
      <c r="G328" s="2">
        <v>1129</v>
      </c>
      <c r="H328" s="2" t="s">
        <v>826</v>
      </c>
      <c r="I328" s="2" t="s">
        <v>827</v>
      </c>
      <c r="J328" s="1">
        <f>VLOOKUP($H328,[1]Detail!$B:$R,14,0)</f>
        <v>2750136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f>VLOOKUP($H328,[1]Detail!$B:$AI,34,0)</f>
        <v>0</v>
      </c>
    </row>
    <row r="329" spans="1:21" x14ac:dyDescent="0.35">
      <c r="A329" s="2">
        <v>328</v>
      </c>
      <c r="B329" s="2">
        <v>2</v>
      </c>
      <c r="C329" s="2" t="s">
        <v>73</v>
      </c>
      <c r="D329" s="2" t="s">
        <v>74</v>
      </c>
      <c r="E329" s="2" t="s">
        <v>75</v>
      </c>
      <c r="F329" s="2" t="s">
        <v>38</v>
      </c>
      <c r="G329" s="2">
        <v>1130</v>
      </c>
      <c r="H329" s="2" t="s">
        <v>828</v>
      </c>
      <c r="I329" s="2" t="s">
        <v>829</v>
      </c>
      <c r="J329" s="1">
        <f>VLOOKUP($H329,[1]Detail!$B:$R,14,0)</f>
        <v>2750136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f>VLOOKUP($H329,[1]Detail!$B:$AI,34,0)</f>
        <v>0</v>
      </c>
    </row>
    <row r="330" spans="1:21" x14ac:dyDescent="0.35">
      <c r="A330" s="2">
        <v>329</v>
      </c>
      <c r="B330" s="2">
        <v>2</v>
      </c>
      <c r="C330" s="2" t="s">
        <v>73</v>
      </c>
      <c r="D330" s="2" t="s">
        <v>74</v>
      </c>
      <c r="E330" s="2" t="s">
        <v>830</v>
      </c>
      <c r="F330" s="2" t="s">
        <v>42</v>
      </c>
      <c r="G330" s="2">
        <v>1131</v>
      </c>
      <c r="H330" s="2" t="s">
        <v>831</v>
      </c>
      <c r="I330" s="2" t="s">
        <v>832</v>
      </c>
      <c r="J330" s="1">
        <f>VLOOKUP($H330,[1]Detail!$B:$R,14,0)</f>
        <v>3080000</v>
      </c>
      <c r="K330" s="1">
        <v>500000</v>
      </c>
      <c r="L330" s="1">
        <v>0</v>
      </c>
      <c r="M330" s="1">
        <v>11900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f>VLOOKUP($H330,[1]Detail!$B:$AI,34,0)</f>
        <v>0</v>
      </c>
    </row>
    <row r="331" spans="1:21" x14ac:dyDescent="0.35">
      <c r="A331" s="2">
        <v>330</v>
      </c>
      <c r="B331" s="2">
        <v>2</v>
      </c>
      <c r="C331" s="2" t="s">
        <v>73</v>
      </c>
      <c r="D331" s="2" t="s">
        <v>74</v>
      </c>
      <c r="E331" s="2" t="s">
        <v>75</v>
      </c>
      <c r="F331" s="2" t="s">
        <v>38</v>
      </c>
      <c r="G331" s="2">
        <v>1132</v>
      </c>
      <c r="H331" s="2" t="s">
        <v>833</v>
      </c>
      <c r="I331" s="2" t="s">
        <v>834</v>
      </c>
      <c r="J331" s="1">
        <f>VLOOKUP($H331,[1]Detail!$B:$R,14,0)</f>
        <v>2750136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f>VLOOKUP($H331,[1]Detail!$B:$AI,34,0)</f>
        <v>0</v>
      </c>
    </row>
    <row r="332" spans="1:21" x14ac:dyDescent="0.35">
      <c r="A332" s="2">
        <v>331</v>
      </c>
      <c r="B332" s="2">
        <v>2</v>
      </c>
      <c r="C332" s="2" t="s">
        <v>73</v>
      </c>
      <c r="D332" s="2" t="s">
        <v>74</v>
      </c>
      <c r="E332" s="2" t="s">
        <v>75</v>
      </c>
      <c r="F332" s="2" t="s">
        <v>38</v>
      </c>
      <c r="G332" s="2">
        <v>1133</v>
      </c>
      <c r="H332" s="2" t="s">
        <v>835</v>
      </c>
      <c r="I332" s="2" t="s">
        <v>836</v>
      </c>
      <c r="J332" s="1">
        <f>VLOOKUP($H332,[1]Detail!$B:$R,14,0)</f>
        <v>2750136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f>VLOOKUP($H332,[1]Detail!$B:$AI,34,0)</f>
        <v>0</v>
      </c>
    </row>
    <row r="333" spans="1:21" x14ac:dyDescent="0.35">
      <c r="A333" s="2">
        <v>332</v>
      </c>
      <c r="B333" s="2">
        <v>2</v>
      </c>
      <c r="C333" s="2" t="s">
        <v>73</v>
      </c>
      <c r="D333" s="2" t="s">
        <v>74</v>
      </c>
      <c r="E333" s="2" t="s">
        <v>75</v>
      </c>
      <c r="F333" s="2" t="s">
        <v>38</v>
      </c>
      <c r="G333" s="2">
        <v>1134</v>
      </c>
      <c r="H333" s="2" t="s">
        <v>837</v>
      </c>
      <c r="I333" s="2" t="s">
        <v>838</v>
      </c>
      <c r="J333" s="1">
        <f>VLOOKUP($H333,[1]Detail!$B:$R,14,0)</f>
        <v>2750136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f>VLOOKUP($H333,[1]Detail!$B:$AI,34,0)</f>
        <v>0</v>
      </c>
    </row>
    <row r="334" spans="1:21" x14ac:dyDescent="0.35">
      <c r="A334" s="2">
        <v>333</v>
      </c>
      <c r="B334" s="2">
        <v>2</v>
      </c>
      <c r="C334" s="2" t="s">
        <v>32</v>
      </c>
      <c r="D334" s="2" t="s">
        <v>36</v>
      </c>
      <c r="E334" s="2" t="s">
        <v>141</v>
      </c>
      <c r="F334" s="2" t="s">
        <v>38</v>
      </c>
      <c r="G334" s="2">
        <v>1135</v>
      </c>
      <c r="H334" s="2" t="s">
        <v>839</v>
      </c>
      <c r="I334" s="2" t="s">
        <v>840</v>
      </c>
      <c r="J334" s="1">
        <f>VLOOKUP($H334,[1]Detail!$B:$R,14,0)</f>
        <v>2750136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f>VLOOKUP($H334,[1]Detail!$B:$AI,34,0)</f>
        <v>0</v>
      </c>
    </row>
    <row r="335" spans="1:21" x14ac:dyDescent="0.35">
      <c r="A335" s="2">
        <v>334</v>
      </c>
      <c r="B335" s="2">
        <v>2</v>
      </c>
      <c r="C335" s="2" t="s">
        <v>64</v>
      </c>
      <c r="D335" s="2" t="s">
        <v>78</v>
      </c>
      <c r="E335" s="2" t="s">
        <v>79</v>
      </c>
      <c r="F335" s="2" t="s">
        <v>38</v>
      </c>
      <c r="G335" s="2">
        <v>1136</v>
      </c>
      <c r="H335" s="2" t="s">
        <v>841</v>
      </c>
      <c r="I335" s="2" t="s">
        <v>842</v>
      </c>
      <c r="J335" s="1">
        <f>VLOOKUP($H335,[1]Detail!$B:$R,14,0)</f>
        <v>2750136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f>VLOOKUP($H335,[1]Detail!$B:$AI,34,0)</f>
        <v>0</v>
      </c>
    </row>
    <row r="336" spans="1:21" x14ac:dyDescent="0.35">
      <c r="A336" s="2">
        <v>335</v>
      </c>
      <c r="B336" s="2">
        <v>2</v>
      </c>
      <c r="C336" s="2" t="s">
        <v>73</v>
      </c>
      <c r="D336" s="2" t="s">
        <v>84</v>
      </c>
      <c r="E336" s="2" t="s">
        <v>85</v>
      </c>
      <c r="F336" s="2" t="s">
        <v>38</v>
      </c>
      <c r="G336" s="2">
        <v>1161</v>
      </c>
      <c r="H336" s="2" t="s">
        <v>843</v>
      </c>
      <c r="I336" s="2" t="s">
        <v>844</v>
      </c>
      <c r="J336" s="1">
        <f>VLOOKUP($H336,[1]Detail!$B:$R,14,0)</f>
        <v>2750136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f>VLOOKUP($H336,[1]Detail!$B:$AI,34,0)</f>
        <v>0</v>
      </c>
    </row>
    <row r="337" spans="1:21" x14ac:dyDescent="0.35">
      <c r="A337" s="2">
        <v>336</v>
      </c>
      <c r="B337" s="2">
        <v>2</v>
      </c>
      <c r="C337" s="2" t="s">
        <v>73</v>
      </c>
      <c r="D337" s="2" t="s">
        <v>84</v>
      </c>
      <c r="E337" s="2" t="s">
        <v>85</v>
      </c>
      <c r="F337" s="2" t="s">
        <v>38</v>
      </c>
      <c r="G337" s="2">
        <v>1162</v>
      </c>
      <c r="H337" s="2" t="s">
        <v>845</v>
      </c>
      <c r="I337" s="2" t="s">
        <v>846</v>
      </c>
      <c r="J337" s="1">
        <f>VLOOKUP($H337,[1]Detail!$B:$R,14,0)</f>
        <v>2750136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f>VLOOKUP($H337,[1]Detail!$B:$AI,34,0)</f>
        <v>0</v>
      </c>
    </row>
    <row r="338" spans="1:21" x14ac:dyDescent="0.35">
      <c r="A338" s="2">
        <v>337</v>
      </c>
      <c r="B338" s="2">
        <v>2</v>
      </c>
      <c r="C338" s="2" t="s">
        <v>45</v>
      </c>
      <c r="D338" s="2" t="s">
        <v>46</v>
      </c>
      <c r="E338" s="2" t="s">
        <v>47</v>
      </c>
      <c r="F338" s="2" t="s">
        <v>38</v>
      </c>
      <c r="G338" s="2">
        <v>1622</v>
      </c>
      <c r="H338" s="2" t="s">
        <v>847</v>
      </c>
      <c r="I338" s="2" t="s">
        <v>848</v>
      </c>
      <c r="J338" s="1">
        <f>VLOOKUP($H338,[1]Detail!$B:$R,14,0)</f>
        <v>2750136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f>VLOOKUP($H338,[1]Detail!$B:$AI,34,0)</f>
        <v>0</v>
      </c>
    </row>
    <row r="339" spans="1:21" x14ac:dyDescent="0.35">
      <c r="A339" s="2">
        <v>338</v>
      </c>
      <c r="B339" s="2">
        <v>2</v>
      </c>
      <c r="C339" s="2" t="s">
        <v>45</v>
      </c>
      <c r="D339" s="2" t="s">
        <v>128</v>
      </c>
      <c r="E339" s="2" t="s">
        <v>149</v>
      </c>
      <c r="F339" s="2" t="s">
        <v>38</v>
      </c>
      <c r="G339" s="2">
        <v>1623</v>
      </c>
      <c r="H339" s="2" t="s">
        <v>849</v>
      </c>
      <c r="I339" s="2" t="s">
        <v>850</v>
      </c>
      <c r="J339" s="1">
        <f>VLOOKUP($H339,[1]Detail!$B:$R,14,0)</f>
        <v>2750136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f>VLOOKUP($H339,[1]Detail!$B:$AI,34,0)</f>
        <v>55003</v>
      </c>
    </row>
    <row r="340" spans="1:21" x14ac:dyDescent="0.35">
      <c r="A340" s="2">
        <v>339</v>
      </c>
      <c r="B340" s="2">
        <v>2</v>
      </c>
      <c r="C340" s="2" t="s">
        <v>136</v>
      </c>
      <c r="D340" s="2" t="s">
        <v>378</v>
      </c>
      <c r="E340" s="2" t="s">
        <v>851</v>
      </c>
      <c r="F340" s="2" t="s">
        <v>42</v>
      </c>
      <c r="G340" s="2">
        <v>1700</v>
      </c>
      <c r="H340" s="2" t="s">
        <v>852</v>
      </c>
      <c r="I340" s="2" t="s">
        <v>853</v>
      </c>
      <c r="J340" s="1">
        <f>VLOOKUP($H340,[1]Detail!$B:$R,14,0)</f>
        <v>3500000</v>
      </c>
      <c r="K340" s="1">
        <v>500000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f>VLOOKUP($H340,[1]Detail!$B:$AI,34,0)</f>
        <v>0</v>
      </c>
    </row>
    <row r="341" spans="1:21" x14ac:dyDescent="0.35">
      <c r="A341" s="2">
        <v>340</v>
      </c>
      <c r="B341" s="2">
        <v>2</v>
      </c>
      <c r="C341" s="2" t="s">
        <v>32</v>
      </c>
      <c r="D341" s="2" t="s">
        <v>36</v>
      </c>
      <c r="E341" s="2" t="s">
        <v>854</v>
      </c>
      <c r="F341" s="2" t="s">
        <v>42</v>
      </c>
      <c r="G341" s="2">
        <v>1752</v>
      </c>
      <c r="H341" s="2" t="s">
        <v>855</v>
      </c>
      <c r="I341" s="2" t="s">
        <v>856</v>
      </c>
      <c r="J341" s="1">
        <f>VLOOKUP($H341,[1]Detail!$B:$R,14,0)</f>
        <v>2800000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f>VLOOKUP($H341,[1]Detail!$B:$AI,34,0)</f>
        <v>0</v>
      </c>
    </row>
    <row r="342" spans="1:21" x14ac:dyDescent="0.35">
      <c r="A342" s="2">
        <v>341</v>
      </c>
      <c r="B342" s="2">
        <v>2</v>
      </c>
      <c r="C342" s="2" t="s">
        <v>64</v>
      </c>
      <c r="D342" s="2" t="s">
        <v>202</v>
      </c>
      <c r="E342" s="2" t="s">
        <v>857</v>
      </c>
      <c r="F342" s="2" t="s">
        <v>104</v>
      </c>
      <c r="G342" s="2">
        <v>1753</v>
      </c>
      <c r="H342" s="2" t="s">
        <v>858</v>
      </c>
      <c r="I342" s="2" t="s">
        <v>859</v>
      </c>
      <c r="J342" s="1">
        <f>VLOOKUP($H342,[1]Detail!$B:$R,14,0)</f>
        <v>6800000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f>VLOOKUP($H342,[1]Detail!$B:$AI,34,0)</f>
        <v>0</v>
      </c>
    </row>
    <row r="343" spans="1:21" x14ac:dyDescent="0.35">
      <c r="A343" s="2">
        <v>342</v>
      </c>
      <c r="B343" s="2">
        <v>2</v>
      </c>
      <c r="C343" s="2" t="s">
        <v>182</v>
      </c>
      <c r="D343" s="2" t="s">
        <v>183</v>
      </c>
      <c r="E343" s="2" t="s">
        <v>860</v>
      </c>
      <c r="F343" s="2" t="s">
        <v>42</v>
      </c>
      <c r="G343" s="2">
        <v>9999</v>
      </c>
      <c r="H343" s="2" t="s">
        <v>861</v>
      </c>
      <c r="I343" s="2" t="s">
        <v>862</v>
      </c>
      <c r="J343" s="1">
        <v>1000</v>
      </c>
      <c r="K343" s="1">
        <v>500000</v>
      </c>
      <c r="L343" s="1">
        <v>0</v>
      </c>
      <c r="M343" s="1">
        <v>11900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 t="e">
        <f>VLOOKUP($H343,[1]Detail!$B:$AI,34,0)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izura sonny</cp:lastModifiedBy>
  <dcterms:created xsi:type="dcterms:W3CDTF">2025-03-23T11:27:45Z</dcterms:created>
  <dcterms:modified xsi:type="dcterms:W3CDTF">2025-03-23T11:33:46Z</dcterms:modified>
  <cp:category/>
</cp:coreProperties>
</file>